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2a6d6d509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概览" sheetId="1" r:id="R3f596f115be747c0"/>
    <x:sheet xmlns:r="http://schemas.openxmlformats.org/officeDocument/2006/relationships" name="简历清单" sheetId="2" r:id="Rab5731b0ae6748fc"/>
    <x:sheet xmlns:r="http://schemas.openxmlformats.org/officeDocument/2006/relationships" name="岗位要求" sheetId="3" r:id="R4e6df57cd52f48e8"/>
    <x:sheet xmlns:r="http://schemas.openxmlformats.org/officeDocument/2006/relationships" name="参考标注" sheetId="4" r:id="Rafb678f3d6b9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83349"/>
      <x:name val="Arial"/>
    </x:font>
    <x:font>
      <x:b/>
      <x:sz val="16"/>
      <x:color rgb="FF183349"/>
      <x:name val="Arial"/>
    </x:font>
    <x:font>
      <x:b/>
      <x:sz val="11"/>
      <x:color rgb="FFFFFFFF"/>
      <x:name val="Arial"/>
    </x:font>
    <x:font>
      <x:b/>
      <x:sz val="11"/>
      <x:color rgb="FF1833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9"/>
      </x:patternFill>
    </x:fill>
    <x:fill>
      <x:patternFill patternType="solid">
        <x:fgColor rgb="FFFFF8E4"/>
      </x:patternFill>
    </x:fill>
    <x:fill>
      <x:patternFill patternType="solid">
        <x:fgColor rgb="FFF0F5F7"/>
      </x:patternFill>
    </x:fill>
  </x:fills>
  <x:borders count="2">
    <x:border/>
    <x:border>
      <x:bottom style="thin">
        <x:color rgb="FF18334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55800"/>
      </x:font>
      <x:fill>
        <x:patternFill patternType="solid">
          <x:bgColor rgb="FFFFF0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01f86451d49d7" /><Relationship Type="http://schemas.openxmlformats.org/officeDocument/2006/relationships/theme" Target="/xl/theme/theme1.xml" Id="R4c935b5a4ea04fc5" /><Relationship Type="http://schemas.openxmlformats.org/officeDocument/2006/relationships/sharedStrings" Target="/xl/sharedStrings.xml" Id="Rcc62b76216da4547" /><Relationship Type="http://schemas.openxmlformats.org/officeDocument/2006/relationships/worksheet" Target="/xl/worksheets/sheet1.xml" Id="R3f596f115be747c0" /><Relationship Type="http://schemas.openxmlformats.org/officeDocument/2006/relationships/worksheet" Target="/xl/worksheets/sheet2.xml" Id="Rab5731b0ae6748fc" /><Relationship Type="http://schemas.openxmlformats.org/officeDocument/2006/relationships/worksheet" Target="/xl/worksheets/sheet3.xml" Id="R4e6df57cd52f48e8" /><Relationship Type="http://schemas.openxmlformats.org/officeDocument/2006/relationships/worksheet" Target="/xl/worksheets/sheet4.xml" Id="Rafb678f3d6b94cac" /></Relationships>
</file>

<file path=xl/tables/table1.xml><?xml version="1.0" encoding="utf-8"?>
<x:table xmlns:x="http://schemas.openxmlformats.org/spreadsheetml/2006/main" id="1" name="ResumeManifest" displayName="ResumeManifest" ref="A5:F65" headerRowCount="1" totalsRowCount="0" totalsRowShown="0">
  <x:tableColumns count="6">
    <x:tableColumn id="1" name="候选人 ID"/>
    <x:tableColumn id="2" name="申请岗位"/>
    <x:tableColumn id="3" name="虚拟姓名"/>
    <x:tableColumn id="4" name="输入类型"/>
    <x:tableColumn id="5" name="PDF 相对路径"/>
    <x:tableColumn id="6" name="TXT 相对路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JobCriteria" displayName="JobCriteria" ref="A5:D17" headerRowCount="1" totalsRowCount="0" totalsRowShown="0">
  <x:tableColumns count="4">
    <x:tableColumn id="1" name="岗位 ID"/>
    <x:tableColumn id="2" name="岗位"/>
    <x:tableColumn id="3" name="条目"/>
    <x:tableColumn id="4" name="必需的工作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ferenceLabels" displayName="ReferenceLabels" ref="A5:I65" headerRowCount="1" totalsRowCount="0" totalsRowShown="0">
  <x:tableColumns count="9">
    <x:tableColumn id="1" name="候选人 ID"/>
    <x:tableColumn id="2" name="岗位 ID"/>
    <x:tableColumn id="3" name="数据用途"/>
    <x:tableColumn id="4" name="C1"/>
    <x:tableColumn id="5" name="C2"/>
    <x:tableColumn id="6" name="C3"/>
    <x:tableColumn id="7" name="C4"/>
    <x:tableColumn id="8" name="参考结论"/>
    <x:tableColumn id="9" name="需追问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1506f784548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607a36dc1246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762a526894867" /></Relationships>
</file>

<file path=xl/worksheets/sheet1.xml><?xml version="1.0" encoding="utf-8"?>
<x:worksheet xmlns:x="http://schemas.openxmlformats.org/spreadsheetml/2006/main">
  <x:sheetPr>
    <x:tabColor rgb="FF183349"/>
  </x:sheetPr>
  <x:sheetViews>
    <x:sheetView showGridLines="0" workbookViewId="0"/>
  </x:sheetViews>
  <x:sheetFormatPr defaultRowHeight="15"/>
  <x:cols>
    <x:col min="1" max="1" width="16.67000007629394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.329999923706055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34" customHeight="1">
      <x:c r="A2" s="3" t="str">
        <x:v>Resume Screening 数据交接</x:v>
      </x:c>
      <x:c r="B2" s="2"/>
      <x:c r="C2" s="2"/>
      <x:c r="D2" s="2"/>
      <x:c r="E2" s="2"/>
      <x:c r="F2" s="2"/>
    </x:row>
    <x:row r="3" ht="27" customHeight="1">
      <x:c r="A3" s="2" t="str">
        <x:v>60 个虚拟候选人，3 个演示岗位；经历计算截止 2026-08-31。</x:v>
      </x:c>
      <x:c r="B3" s="2"/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32" customHeight="1">
      <x:c r="A5" s="5" t="str">
        <x:v>岗位</x:v>
      </x:c>
      <x:c r="B5" s="5" t="str">
        <x:v>简历数</x:v>
      </x:c>
      <x:c r="C5" s="5" t="str">
        <x:v>证据完整</x:v>
      </x:c>
      <x:c r="D5" s="5" t="str">
        <x:v>部分满足</x:v>
      </x:c>
      <x:c r="E5" s="5" t="str">
        <x:v>证据较少</x:v>
      </x:c>
      <x:c r="F5" s="5" t="str">
        <x:v>需要澄清</x:v>
      </x:c>
    </x:row>
    <x:row r="6" ht="27" customHeight="1">
      <x:c r="A6" s="2" t="str">
        <x:v>软件开发</x:v>
      </x:c>
      <x:c r="B6" s="12" t="n">
        <x:f>COUNTIFS('参考标注'!$B$6:$B$65,"JD-001")</x:f>
        <x:v>20</x:v>
      </x:c>
      <x:c r="C6" s="12" t="n">
        <x:f>COUNTIFS('参考标注'!$B$6:$B$65,"JD-001",'参考标注'!$H$6:$H$65,C$5)</x:f>
        <x:v>8</x:v>
      </x:c>
      <x:c r="D6" s="12" t="n">
        <x:f>COUNTIFS('参考标注'!$B$6:$B$65,"JD-001",'参考标注'!$H$6:$H$65,D$5)</x:f>
        <x:v>6</x:v>
      </x:c>
      <x:c r="E6" s="12" t="n">
        <x:f>COUNTIFS('参考标注'!$B$6:$B$65,"JD-001",'参考标注'!$H$6:$H$65,E$5)</x:f>
        <x:v>3</x:v>
      </x:c>
      <x:c r="F6" s="12" t="n">
        <x:f>COUNTIFS('参考标注'!$B$6:$B$65,"JD-001",'参考标注'!$H$6:$H$65,F$5)</x:f>
        <x:v>3</x:v>
      </x:c>
    </x:row>
    <x:row r="7" ht="27" customHeight="1">
      <x:c r="A7" s="2" t="str">
        <x:v>销售运营</x:v>
      </x:c>
      <x:c r="B7" s="12" t="n">
        <x:f>COUNTIFS('参考标注'!$B$6:$B$65,"JD-002")</x:f>
        <x:v>20</x:v>
      </x:c>
      <x:c r="C7" s="12" t="n">
        <x:f>COUNTIFS('参考标注'!$B$6:$B$65,"JD-002",'参考标注'!$H$6:$H$65,C$5)</x:f>
        <x:v>8</x:v>
      </x:c>
      <x:c r="D7" s="12" t="n">
        <x:f>COUNTIFS('参考标注'!$B$6:$B$65,"JD-002",'参考标注'!$H$6:$H$65,D$5)</x:f>
        <x:v>6</x:v>
      </x:c>
      <x:c r="E7" s="12" t="n">
        <x:f>COUNTIFS('参考标注'!$B$6:$B$65,"JD-002",'参考标注'!$H$6:$H$65,E$5)</x:f>
        <x:v>3</x:v>
      </x:c>
      <x:c r="F7" s="12" t="n">
        <x:f>COUNTIFS('参考标注'!$B$6:$B$65,"JD-002",'参考标注'!$H$6:$H$65,F$5)</x:f>
        <x:v>3</x:v>
      </x:c>
    </x:row>
    <x:row r="8" ht="27" customHeight="1">
      <x:c r="A8" s="2" t="str">
        <x:v>财务助理</x:v>
      </x:c>
      <x:c r="B8" s="12" t="n">
        <x:f>COUNTIFS('参考标注'!$B$6:$B$65,"JD-003")</x:f>
        <x:v>20</x:v>
      </x:c>
      <x:c r="C8" s="12" t="n">
        <x:f>COUNTIFS('参考标注'!$B$6:$B$65,"JD-003",'参考标注'!$H$6:$H$65,C$5)</x:f>
        <x:v>8</x:v>
      </x:c>
      <x:c r="D8" s="12" t="n">
        <x:f>COUNTIFS('参考标注'!$B$6:$B$65,"JD-003",'参考标注'!$H$6:$H$65,D$5)</x:f>
        <x:v>6</x:v>
      </x:c>
      <x:c r="E8" s="12" t="n">
        <x:f>COUNTIFS('参考标注'!$B$6:$B$65,"JD-003",'参考标注'!$H$6:$H$65,E$5)</x:f>
        <x:v>3</x:v>
      </x:c>
      <x:c r="F8" s="12" t="n">
        <x:f>COUNTIFS('参考标注'!$B$6:$B$65,"JD-003",'参考标注'!$H$6:$H$65,F$5)</x:f>
        <x:v>3</x:v>
      </x:c>
    </x:row>
    <x:row r="9" ht="27" customHeight="1">
      <x:c r="A9" s="10" t="str">
        <x:v>合计</x:v>
      </x:c>
      <x:c r="B9" s="13" t="n">
        <x:f>SUM(B6:B8)</x:f>
        <x:v>60</x:v>
      </x:c>
      <x:c r="C9" s="13" t="n">
        <x:f>SUM(C6:C8)</x:f>
        <x:v>24</x:v>
      </x:c>
      <x:c r="D9" s="13" t="n">
        <x:f>SUM(D6:D8)</x:f>
        <x:v>18</x:v>
      </x:c>
      <x:c r="E9" s="13" t="n">
        <x:f>SUM(E6:E8)</x:f>
        <x:v>9</x:v>
      </x:c>
      <x:c r="F9" s="13" t="n">
        <x:f>SUM(F6:F8)</x:f>
        <x:v>9</x:v>
      </x:c>
    </x:row>
    <x:row r="10" ht="27" customHeight="1">
      <x:c r="A10" s="2"/>
      <x:c r="B10" s="2"/>
      <x:c r="C10" s="2"/>
      <x:c r="D10" s="2"/>
      <x:c r="E10" s="2"/>
      <x:c r="F10" s="2"/>
    </x:row>
    <x:row r="11" ht="27" customHeight="1">
      <x:c r="A11" s="2"/>
      <x:c r="B11" s="2"/>
      <x:c r="C11" s="2"/>
      <x:c r="D11" s="2"/>
      <x:c r="E11" s="2"/>
      <x:c r="F11" s="2"/>
    </x:row>
    <x:row r="12" ht="27" customHeight="1">
      <x:c r="A12" s="11" t="str">
        <x:v>文件类型</x:v>
      </x:c>
      <x:c r="B12" s="11" t="str">
        <x:v>数量</x:v>
      </x:c>
      <x:c r="C12" s="2"/>
      <x:c r="D12" s="11" t="str">
        <x:v>使用阶段</x:v>
      </x:c>
      <x:c r="E12" s="11" t="str">
        <x:v>人数</x:v>
      </x:c>
      <x:c r="F12" s="2"/>
    </x:row>
    <x:row r="13" ht="27" customHeight="1">
      <x:c r="A13" s="2" t="str">
        <x:v>单栏文本 PDF</x:v>
      </x:c>
      <x:c r="B13" s="12" t="n">
        <x:f>COUNTIFS('简历清单'!$D$6:$D$65,A13)</x:f>
        <x:v>36</x:v>
      </x:c>
      <x:c r="C13" s="2"/>
      <x:c r="D13" s="2" t="str">
        <x:v>开发</x:v>
      </x:c>
      <x:c r="E13" s="12" t="n">
        <x:f>COUNTIFS('参考标注'!$C$6:$C$65,D13)</x:f>
        <x:v>36</x:v>
      </x:c>
      <x:c r="F13" s="2"/>
    </x:row>
    <x:row r="14" ht="27" customHeight="1">
      <x:c r="A14" s="2" t="str">
        <x:v>双栏文本 PDF</x:v>
      </x:c>
      <x:c r="B14" s="12" t="n">
        <x:f>COUNTIFS('简历清单'!$D$6:$D$65,A14)</x:f>
        <x:v>18</x:v>
      </x:c>
      <x:c r="C14" s="2"/>
      <x:c r="D14" s="2" t="str">
        <x:v>保留测试</x:v>
      </x:c>
      <x:c r="E14" s="12" t="n">
        <x:f>COUNTIFS('参考标注'!$C$6:$C$65,D14)</x:f>
        <x:v>18</x:v>
      </x:c>
      <x:c r="F14" s="2"/>
    </x:row>
    <x:row r="15" ht="27" customHeight="1">
      <x:c r="A15" s="2" t="str">
        <x:v>扫描式 PDF</x:v>
      </x:c>
      <x:c r="B15" s="12" t="n">
        <x:f>COUNTIFS('简历清单'!$D$6:$D$65,A15)</x:f>
        <x:v>6</x:v>
      </x:c>
      <x:c r="C15" s="2"/>
      <x:c r="D15" s="2" t="str">
        <x:v>演示</x:v>
      </x:c>
      <x:c r="E15" s="12" t="n">
        <x:f>COUNTIFS('参考标注'!$C$6:$C$65,D15)</x:f>
        <x:v>6</x:v>
      </x:c>
      <x:c r="F15" s="2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2"/>
      <x:c r="B17" s="2"/>
      <x:c r="C17" s="2"/>
      <x:c r="D17" s="2"/>
      <x:c r="E17" s="2"/>
      <x:c r="F17" s="2"/>
    </x:row>
    <x:row r="18" ht="29" customHeight="1">
      <x:c r="A18" s="2" t="str">
        <x:v>开始使用：先读 README_中文.md；将 inputs 中的简历、岗位要求及申请关系交给队友。</x:v>
      </x:c>
      <x:c r="B18" s="2"/>
      <x:c r="C18" s="2"/>
      <x:c r="D18" s="2"/>
      <x:c r="E18" s="2"/>
      <x:c r="F18" s="2"/>
    </x:row>
    <x:row r="19" ht="29" customHeight="1">
      <x:c r="A19" s="2" t="str">
        <x:v>evaluation 和本表含参考答案。运行筛选时不要将它们传入模型或检索库。</x:v>
      </x:c>
      <x:c r="B19" s="2"/>
      <x:c r="C19" s="2"/>
      <x:c r="D19" s="2"/>
      <x:c r="E19" s="2"/>
      <x:c r="F19" s="2"/>
    </x:row>
    <x:row r="20" ht="29" customHeight="1">
      <x:c r="A20" s="2" t="str">
        <x:v>PDF / TXT 是同一批候选人的两种表示；不要作为 120 个不同候选人重复导入。</x:v>
      </x:c>
      <x:c r="B20" s="2"/>
      <x:c r="C20" s="2"/>
      <x:c r="D20" s="2"/>
      <x:c r="E20" s="2"/>
      <x:c r="F20" s="2"/>
    </x:row>
    <x:row r="21" ht="29" customHeight="1">
      <x:c r="A21" s="2" t="str">
        <x:v>扫描式 PDF 没有文本层。测 OCR 时只读 PDF，不可使用对应 TXT 代替识别。</x:v>
      </x:c>
      <x:c r="B21" s="2"/>
      <x:c r="C21" s="2"/>
      <x:c r="D21" s="2"/>
      <x:c r="E21" s="2"/>
      <x:c r="F21" s="2"/>
    </x:row>
    <x:row r="22" ht="29" customHeight="1">
      <x:c r="A22" s="2" t="str">
        <x:v>标注含义：完整=4 项有证据；部分=2–3 项；较少=0–1 项；任一待澄清优先。</x:v>
      </x:c>
      <x:c r="B22" s="2"/>
      <x:c r="C22" s="2"/>
      <x:c r="D22" s="2"/>
      <x:c r="E22" s="2"/>
      <x:c r="F22" s="2"/>
    </x:row>
    <x:row r="23" ht="29" customHeight="1">
      <x:c r="A23" s="2" t="str">
        <x:v>“未体现”表示简历没有证据，不等于候选人没有能力；这些结论不是录用决定。</x:v>
      </x:c>
      <x:c r="B23" s="2"/>
      <x:c r="C23" s="2"/>
      <x:c r="D23" s="2"/>
      <x:c r="E23" s="2"/>
      <x:c r="F23" s="2"/>
    </x:row>
    <x:row r="24" ht="29" customHeight="1">
      <x:c r="A24" s="2" t="str">
        <x:v>修改参考标注会更新本表统计；CSV/JSONL 是静态文件，需要同步更新。</x:v>
      </x:c>
      <x:c r="B24" s="2"/>
      <x:c r="C24" s="2"/>
      <x:c r="D24" s="2"/>
      <x:c r="E24" s="2"/>
      <x:c r="F24" s="2"/>
    </x:row>
    <x:row r="25" ht="29" customHeight="1">
      <x:c r="A25" s="2" t="str">
        <x:v>60 份用于原型与演示。建议先由两位队友独立复核标注，再评估筛选结果。</x:v>
      </x:c>
      <x:c r="B25" s="2"/>
      <x:c r="C25" s="2"/>
      <x:c r="D25" s="2"/>
      <x:c r="E25" s="2"/>
      <x:c r="F25" s="2"/>
    </x:row>
    <x:row r="26" ht="27" customHeight="1">
      <x:c r="A26" s="2"/>
      <x:c r="B26" s="2"/>
      <x:c r="C26" s="2"/>
      <x:c r="D26" s="2"/>
      <x:c r="E26" s="2"/>
      <x:c r="F26" s="2"/>
    </x:row>
    <x:row r="27" ht="27" customHeight="1">
      <x:c r="A27" s="2"/>
      <x:c r="B27" s="2"/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/>
      <x:c r="C29" s="2"/>
      <x:c r="D29" s="2"/>
      <x:c r="E29" s="2"/>
      <x:c r="F29" s="2"/>
    </x:row>
    <x:row r="30" ht="27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2.220000267028809" hidden="0" customWidth="1"/>
    <x:col min="3" max="3" width="17.219999313354492" hidden="0" customWidth="1"/>
    <x:col min="4" max="4" width="17.219999313354492" hidden="0" customWidth="1"/>
    <x:col min="5" max="5" width="37.779998779296875" hidden="0" customWidth="1"/>
    <x:col min="6" max="6" width="37.779998779296875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34" customHeight="1">
      <x:c r="A2" s="3" t="str">
        <x:v>60 份虚拟简历清单</x:v>
      </x:c>
      <x:c r="B2" s="2"/>
      <x:c r="C2" s="2"/>
      <x:c r="D2" s="2"/>
      <x:c r="E2" s="2"/>
      <x:c r="F2" s="2"/>
    </x:row>
    <x:row r="3" ht="27" customHeight="1">
      <x:c r="A3" s="2" t="str">
        <x:v>来源：AI 原创虚拟数据，2026-09-12。姓名、单位、学校及经历均为虚构。</x:v>
      </x:c>
      <x:c r="B3" s="2"/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32" customHeight="1">
      <x:c r="A5" s="6" t="str">
        <x:v>候选人 ID</x:v>
      </x:c>
      <x:c r="B5" s="6" t="str">
        <x:v>申请岗位</x:v>
      </x:c>
      <x:c r="C5" s="6" t="str">
        <x:v>虚拟姓名</x:v>
      </x:c>
      <x:c r="D5" s="6" t="str">
        <x:v>输入类型</x:v>
      </x:c>
      <x:c r="E5" s="6" t="str">
        <x:v>PDF 相对路径</x:v>
      </x:c>
      <x:c r="F5" s="6" t="str">
        <x:v>TXT 相对路径</x:v>
      </x:c>
    </x:row>
    <x:row r="6" ht="27" customHeight="1">
      <x:c r="A6" s="2" t="str">
        <x:v>CV-001</x:v>
      </x:c>
      <x:c r="B6" s="2" t="str">
        <x:v>软件开发</x:v>
      </x:c>
      <x:c r="C6" s="2" t="str">
        <x:v>Morgan Teo</x:v>
      </x:c>
      <x:c r="D6" s="2" t="str">
        <x:v>双栏文本 PDF</x:v>
      </x:c>
      <x:c r="E6" s="2" t="str">
        <x:v>inputs/resumes_pdf/CV-001.pdf</x:v>
      </x:c>
      <x:c r="F6" s="2" t="str">
        <x:v>inputs/resumes_txt/CV-001.txt</x:v>
      </x:c>
    </x:row>
    <x:row r="7" ht="27" customHeight="1">
      <x:c r="A7" s="2" t="str">
        <x:v>CV-002</x:v>
      </x:c>
      <x:c r="B7" s="2" t="str">
        <x:v>财务助理</x:v>
      </x:c>
      <x:c r="C7" s="2" t="str">
        <x:v>Toby Lau</x:v>
      </x:c>
      <x:c r="D7" s="2" t="str">
        <x:v>双栏文本 PDF</x:v>
      </x:c>
      <x:c r="E7" s="2" t="str">
        <x:v>inputs/resumes_pdf/CV-002.pdf</x:v>
      </x:c>
      <x:c r="F7" s="2" t="str">
        <x:v>inputs/resumes_txt/CV-002.txt</x:v>
      </x:c>
    </x:row>
    <x:row r="8" ht="27" customHeight="1">
      <x:c r="A8" s="2" t="str">
        <x:v>CV-003</x:v>
      </x:c>
      <x:c r="B8" s="2" t="str">
        <x:v>销售运营</x:v>
      </x:c>
      <x:c r="C8" s="2" t="str">
        <x:v>Shiloh Ho</x:v>
      </x:c>
      <x:c r="D8" s="2" t="str">
        <x:v>单栏文本 PDF</x:v>
      </x:c>
      <x:c r="E8" s="2" t="str">
        <x:v>inputs/resumes_pdf/CV-003.pdf</x:v>
      </x:c>
      <x:c r="F8" s="2" t="str">
        <x:v>inputs/resumes_txt/CV-003.txt</x:v>
      </x:c>
    </x:row>
    <x:row r="9" ht="27" customHeight="1">
      <x:c r="A9" s="2" t="str">
        <x:v>CV-004</x:v>
      </x:c>
      <x:c r="B9" s="2" t="str">
        <x:v>财务助理</x:v>
      </x:c>
      <x:c r="C9" s="2" t="str">
        <x:v>Milan Seah</x:v>
      </x:c>
      <x:c r="D9" s="2" t="str">
        <x:v>单栏文本 PDF</x:v>
      </x:c>
      <x:c r="E9" s="2" t="str">
        <x:v>inputs/resumes_pdf/CV-004.pdf</x:v>
      </x:c>
      <x:c r="F9" s="2" t="str">
        <x:v>inputs/resumes_txt/CV-004.txt</x:v>
      </x:c>
    </x:row>
    <x:row r="10" ht="27" customHeight="1">
      <x:c r="A10" s="2" t="str">
        <x:v>CV-005</x:v>
      </x:c>
      <x:c r="B10" s="2" t="str">
        <x:v>销售运营</x:v>
      </x:c>
      <x:c r="C10" s="2" t="str">
        <x:v>River Ang</x:v>
      </x:c>
      <x:c r="D10" s="2" t="str">
        <x:v>双栏文本 PDF</x:v>
      </x:c>
      <x:c r="E10" s="2" t="str">
        <x:v>inputs/resumes_pdf/CV-005.pdf</x:v>
      </x:c>
      <x:c r="F10" s="2" t="str">
        <x:v>inputs/resumes_txt/CV-005.txt</x:v>
      </x:c>
    </x:row>
    <x:row r="11" ht="27" customHeight="1">
      <x:c r="A11" s="2" t="str">
        <x:v>CV-006</x:v>
      </x:c>
      <x:c r="B11" s="2" t="str">
        <x:v>财务助理</x:v>
      </x:c>
      <x:c r="C11" s="2" t="str">
        <x:v>Eden Teo</x:v>
      </x:c>
      <x:c r="D11" s="2" t="str">
        <x:v>双栏文本 PDF</x:v>
      </x:c>
      <x:c r="E11" s="2" t="str">
        <x:v>inputs/resumes_pdf/CV-006.pdf</x:v>
      </x:c>
      <x:c r="F11" s="2" t="str">
        <x:v>inputs/resumes_txt/CV-006.txt</x:v>
      </x:c>
    </x:row>
    <x:row r="12" ht="27" customHeight="1">
      <x:c r="A12" s="2" t="str">
        <x:v>CV-007</x:v>
      </x:c>
      <x:c r="B12" s="2" t="str">
        <x:v>销售运营</x:v>
      </x:c>
      <x:c r="C12" s="2" t="str">
        <x:v>Remy Wong</x:v>
      </x:c>
      <x:c r="D12" s="2" t="str">
        <x:v>单栏文本 PDF</x:v>
      </x:c>
      <x:c r="E12" s="2" t="str">
        <x:v>inputs/resumes_pdf/CV-007.pdf</x:v>
      </x:c>
      <x:c r="F12" s="2" t="str">
        <x:v>inputs/resumes_txt/CV-007.txt</x:v>
      </x:c>
    </x:row>
    <x:row r="13" ht="27" customHeight="1">
      <x:c r="A13" s="2" t="str">
        <x:v>CV-008</x:v>
      </x:c>
      <x:c r="B13" s="2" t="str">
        <x:v>财务助理</x:v>
      </x:c>
      <x:c r="C13" s="2" t="str">
        <x:v>Ash Das</x:v>
      </x:c>
      <x:c r="D13" s="2" t="str">
        <x:v>单栏文本 PDF</x:v>
      </x:c>
      <x:c r="E13" s="2" t="str">
        <x:v>inputs/resumes_pdf/CV-008.pdf</x:v>
      </x:c>
      <x:c r="F13" s="2" t="str">
        <x:v>inputs/resumes_txt/CV-008.txt</x:v>
      </x:c>
    </x:row>
    <x:row r="14" ht="27" customHeight="1">
      <x:c r="A14" s="2" t="str">
        <x:v>CV-009</x:v>
      </x:c>
      <x:c r="B14" s="2" t="str">
        <x:v>软件开发</x:v>
      </x:c>
      <x:c r="C14" s="2" t="str">
        <x:v>Mika Raman</x:v>
      </x:c>
      <x:c r="D14" s="2" t="str">
        <x:v>单栏文本 PDF</x:v>
      </x:c>
      <x:c r="E14" s="2" t="str">
        <x:v>inputs/resumes_pdf/CV-009.pdf</x:v>
      </x:c>
      <x:c r="F14" s="2" t="str">
        <x:v>inputs/resumes_txt/CV-009.txt</x:v>
      </x:c>
    </x:row>
    <x:row r="15" ht="27" customHeight="1">
      <x:c r="A15" s="2" t="str">
        <x:v>CV-010</x:v>
      </x:c>
      <x:c r="B15" s="2" t="str">
        <x:v>软件开发</x:v>
      </x:c>
      <x:c r="C15" s="2" t="str">
        <x:v>Samira Noor</x:v>
      </x:c>
      <x:c r="D15" s="2" t="str">
        <x:v>单栏文本 PDF</x:v>
      </x:c>
      <x:c r="E15" s="2" t="str">
        <x:v>inputs/resumes_pdf/CV-010.pdf</x:v>
      </x:c>
      <x:c r="F15" s="2" t="str">
        <x:v>inputs/resumes_txt/CV-010.txt</x:v>
      </x:c>
    </x:row>
    <x:row r="16" ht="27" customHeight="1">
      <x:c r="A16" s="2" t="str">
        <x:v>CV-011</x:v>
      </x:c>
      <x:c r="B16" s="2" t="str">
        <x:v>销售运营</x:v>
      </x:c>
      <x:c r="C16" s="2" t="str">
        <x:v>Drew Tan</x:v>
      </x:c>
      <x:c r="D16" s="2" t="str">
        <x:v>单栏文本 PDF</x:v>
      </x:c>
      <x:c r="E16" s="2" t="str">
        <x:v>inputs/resumes_pdf/CV-011.pdf</x:v>
      </x:c>
      <x:c r="F16" s="2" t="str">
        <x:v>inputs/resumes_txt/CV-011.txt</x:v>
      </x:c>
    </x:row>
    <x:row r="17" ht="27" customHeight="1">
      <x:c r="A17" s="2" t="str">
        <x:v>CV-012</x:v>
      </x:c>
      <x:c r="B17" s="2" t="str">
        <x:v>软件开发</x:v>
      </x:c>
      <x:c r="C17" s="2" t="str">
        <x:v>Sage Lau</x:v>
      </x:c>
      <x:c r="D17" s="2" t="str">
        <x:v>双栏文本 PDF</x:v>
      </x:c>
      <x:c r="E17" s="2" t="str">
        <x:v>inputs/resumes_pdf/CV-012.pdf</x:v>
      </x:c>
      <x:c r="F17" s="2" t="str">
        <x:v>inputs/resumes_txt/CV-012.txt</x:v>
      </x:c>
    </x:row>
    <x:row r="18" ht="27" customHeight="1">
      <x:c r="A18" s="2" t="str">
        <x:v>CV-013</x:v>
      </x:c>
      <x:c r="B18" s="2" t="str">
        <x:v>财务助理</x:v>
      </x:c>
      <x:c r="C18" s="2" t="str">
        <x:v>Payton Koh</x:v>
      </x:c>
      <x:c r="D18" s="2" t="str">
        <x:v>扫描式 PDF</x:v>
      </x:c>
      <x:c r="E18" s="2" t="str">
        <x:v>inputs/resumes_pdf/CV-013.pdf</x:v>
      </x:c>
      <x:c r="F18" s="2" t="str">
        <x:v>inputs/resumes_txt/CV-013.txt</x:v>
      </x:c>
    </x:row>
    <x:row r="19" ht="27" customHeight="1">
      <x:c r="A19" s="2" t="str">
        <x:v>CV-014</x:v>
      </x:c>
      <x:c r="B19" s="2" t="str">
        <x:v>财务助理</x:v>
      </x:c>
      <x:c r="C19" s="2" t="str">
        <x:v>Terry Chua</x:v>
      </x:c>
      <x:c r="D19" s="2" t="str">
        <x:v>单栏文本 PDF</x:v>
      </x:c>
      <x:c r="E19" s="2" t="str">
        <x:v>inputs/resumes_pdf/CV-014.pdf</x:v>
      </x:c>
      <x:c r="F19" s="2" t="str">
        <x:v>inputs/resumes_txt/CV-014.txt</x:v>
      </x:c>
    </x:row>
    <x:row r="20" ht="27" customHeight="1">
      <x:c r="A20" s="2" t="str">
        <x:v>CV-015</x:v>
      </x:c>
      <x:c r="B20" s="2" t="str">
        <x:v>销售运营</x:v>
      </x:c>
      <x:c r="C20" s="2" t="str">
        <x:v>Kiran Menon</x:v>
      </x:c>
      <x:c r="D20" s="2" t="str">
        <x:v>扫描式 PDF</x:v>
      </x:c>
      <x:c r="E20" s="2" t="str">
        <x:v>inputs/resumes_pdf/CV-015.pdf</x:v>
      </x:c>
      <x:c r="F20" s="2" t="str">
        <x:v>inputs/resumes_txt/CV-015.txt</x:v>
      </x:c>
    </x:row>
    <x:row r="21" ht="27" customHeight="1">
      <x:c r="A21" s="2" t="str">
        <x:v>CV-016</x:v>
      </x:c>
      <x:c r="B21" s="2" t="str">
        <x:v>销售运营</x:v>
      </x:c>
      <x:c r="C21" s="2" t="str">
        <x:v>Parker Yeo</x:v>
      </x:c>
      <x:c r="D21" s="2" t="str">
        <x:v>双栏文本 PDF</x:v>
      </x:c>
      <x:c r="E21" s="2" t="str">
        <x:v>inputs/resumes_pdf/CV-016.pdf</x:v>
      </x:c>
      <x:c r="F21" s="2" t="str">
        <x:v>inputs/resumes_txt/CV-016.txt</x:v>
      </x:c>
    </x:row>
    <x:row r="22" ht="27" customHeight="1">
      <x:c r="A22" s="2" t="str">
        <x:v>CV-017</x:v>
      </x:c>
      <x:c r="B22" s="2" t="str">
        <x:v>软件开发</x:v>
      </x:c>
      <x:c r="C22" s="2" t="str">
        <x:v>Finley Ho</x:v>
      </x:c>
      <x:c r="D22" s="2" t="str">
        <x:v>单栏文本 PDF</x:v>
      </x:c>
      <x:c r="E22" s="2" t="str">
        <x:v>inputs/resumes_pdf/CV-017.pdf</x:v>
      </x:c>
      <x:c r="F22" s="2" t="str">
        <x:v>inputs/resumes_txt/CV-017.txt</x:v>
      </x:c>
    </x:row>
    <x:row r="23" ht="27" customHeight="1">
      <x:c r="A23" s="2" t="str">
        <x:v>CV-018</x:v>
      </x:c>
      <x:c r="B23" s="2" t="str">
        <x:v>软件开发</x:v>
      </x:c>
      <x:c r="C23" s="2" t="str">
        <x:v>Dev Menon</x:v>
      </x:c>
      <x:c r="D23" s="2" t="str">
        <x:v>单栏文本 PDF</x:v>
      </x:c>
      <x:c r="E23" s="2" t="str">
        <x:v>inputs/resumes_pdf/CV-018.pdf</x:v>
      </x:c>
      <x:c r="F23" s="2" t="str">
        <x:v>inputs/resumes_txt/CV-018.txt</x:v>
      </x:c>
    </x:row>
    <x:row r="24" ht="27" customHeight="1">
      <x:c r="A24" s="2" t="str">
        <x:v>CV-019</x:v>
      </x:c>
      <x:c r="B24" s="2" t="str">
        <x:v>销售运营</x:v>
      </x:c>
      <x:c r="C24" s="2" t="str">
        <x:v>Reese Lee</x:v>
      </x:c>
      <x:c r="D24" s="2" t="str">
        <x:v>双栏文本 PDF</x:v>
      </x:c>
      <x:c r="E24" s="2" t="str">
        <x:v>inputs/resumes_pdf/CV-019.pdf</x:v>
      </x:c>
      <x:c r="F24" s="2" t="str">
        <x:v>inputs/resumes_txt/CV-019.txt</x:v>
      </x:c>
    </x:row>
    <x:row r="25" ht="27" customHeight="1">
      <x:c r="A25" s="2" t="str">
        <x:v>CV-020</x:v>
      </x:c>
      <x:c r="B25" s="2" t="str">
        <x:v>软件开发</x:v>
      </x:c>
      <x:c r="C25" s="2" t="str">
        <x:v>Emery Das</x:v>
      </x:c>
      <x:c r="D25" s="2" t="str">
        <x:v>单栏文本 PDF</x:v>
      </x:c>
      <x:c r="E25" s="2" t="str">
        <x:v>inputs/resumes_pdf/CV-020.pdf</x:v>
      </x:c>
      <x:c r="F25" s="2" t="str">
        <x:v>inputs/resumes_txt/CV-020.txt</x:v>
      </x:c>
    </x:row>
    <x:row r="26" ht="27" customHeight="1">
      <x:c r="A26" s="2" t="str">
        <x:v>CV-021</x:v>
      </x:c>
      <x:c r="B26" s="2" t="str">
        <x:v>软件开发</x:v>
      </x:c>
      <x:c r="C26" s="2" t="str">
        <x:v>Arden Pillai</x:v>
      </x:c>
      <x:c r="D26" s="2" t="str">
        <x:v>扫描式 PDF</x:v>
      </x:c>
      <x:c r="E26" s="2" t="str">
        <x:v>inputs/resumes_pdf/CV-021.pdf</x:v>
      </x:c>
      <x:c r="F26" s="2" t="str">
        <x:v>inputs/resumes_txt/CV-021.txt</x:v>
      </x:c>
    </x:row>
    <x:row r="27" ht="27" customHeight="1">
      <x:c r="A27" s="2" t="str">
        <x:v>CV-022</x:v>
      </x:c>
      <x:c r="B27" s="2" t="str">
        <x:v>销售运营</x:v>
      </x:c>
      <x:c r="C27" s="2" t="str">
        <x:v>Dallas Chua</x:v>
      </x:c>
      <x:c r="D27" s="2" t="str">
        <x:v>单栏文本 PDF</x:v>
      </x:c>
      <x:c r="E27" s="2" t="str">
        <x:v>inputs/resumes_pdf/CV-022.pdf</x:v>
      </x:c>
      <x:c r="F27" s="2" t="str">
        <x:v>inputs/resumes_txt/CV-022.txt</x:v>
      </x:c>
    </x:row>
    <x:row r="28" ht="27" customHeight="1">
      <x:c r="A28" s="2" t="str">
        <x:v>CV-023</x:v>
      </x:c>
      <x:c r="B28" s="2" t="str">
        <x:v>销售运营</x:v>
      </x:c>
      <x:c r="C28" s="2" t="str">
        <x:v>Ari Lim</x:v>
      </x:c>
      <x:c r="D28" s="2" t="str">
        <x:v>双栏文本 PDF</x:v>
      </x:c>
      <x:c r="E28" s="2" t="str">
        <x:v>inputs/resumes_pdf/CV-023.pdf</x:v>
      </x:c>
      <x:c r="F28" s="2" t="str">
        <x:v>inputs/resumes_txt/CV-023.txt</x:v>
      </x:c>
    </x:row>
    <x:row r="29" ht="27" customHeight="1">
      <x:c r="A29" s="2" t="str">
        <x:v>CV-024</x:v>
      </x:c>
      <x:c r="B29" s="2" t="str">
        <x:v>软件开发</x:v>
      </x:c>
      <x:c r="C29" s="2" t="str">
        <x:v>Robin Chua</x:v>
      </x:c>
      <x:c r="D29" s="2" t="str">
        <x:v>单栏文本 PDF</x:v>
      </x:c>
      <x:c r="E29" s="2" t="str">
        <x:v>inputs/resumes_pdf/CV-024.pdf</x:v>
      </x:c>
      <x:c r="F29" s="2" t="str">
        <x:v>inputs/resumes_txt/CV-024.txt</x:v>
      </x:c>
    </x:row>
    <x:row r="30" ht="27" customHeight="1">
      <x:c r="A30" s="2" t="str">
        <x:v>CV-025</x:v>
      </x:c>
      <x:c r="B30" s="2" t="str">
        <x:v>软件开发</x:v>
      </x:c>
      <x:c r="C30" s="2" t="str">
        <x:v>Jordan Lee</x:v>
      </x:c>
      <x:c r="D30" s="2" t="str">
        <x:v>双栏文本 PDF</x:v>
      </x:c>
      <x:c r="E30" s="2" t="str">
        <x:v>inputs/resumes_pdf/CV-025.pdf</x:v>
      </x:c>
      <x:c r="F30" s="2" t="str">
        <x:v>inputs/resumes_txt/CV-025.txt</x:v>
      </x:c>
    </x:row>
    <x:row r="31" ht="27" customHeight="1">
      <x:c r="A31" s="2" t="str">
        <x:v>CV-026</x:v>
      </x:c>
      <x:c r="B31" s="2" t="str">
        <x:v>软件开发</x:v>
      </x:c>
      <x:c r="C31" s="2" t="str">
        <x:v>Skyler Ang</x:v>
      </x:c>
      <x:c r="D31" s="2" t="str">
        <x:v>双栏文本 PDF</x:v>
      </x:c>
      <x:c r="E31" s="2" t="str">
        <x:v>inputs/resumes_pdf/CV-026.pdf</x:v>
      </x:c>
      <x:c r="F31" s="2" t="str">
        <x:v>inputs/resumes_txt/CV-026.txt</x:v>
      </x:c>
    </x:row>
    <x:row r="32" ht="27" customHeight="1">
      <x:c r="A32" s="2" t="str">
        <x:v>CV-027</x:v>
      </x:c>
      <x:c r="B32" s="2" t="str">
        <x:v>销售运营</x:v>
      </x:c>
      <x:c r="C32" s="2" t="str">
        <x:v>Iman Rahman</x:v>
      </x:c>
      <x:c r="D32" s="2" t="str">
        <x:v>单栏文本 PDF</x:v>
      </x:c>
      <x:c r="E32" s="2" t="str">
        <x:v>inputs/resumes_pdf/CV-027.pdf</x:v>
      </x:c>
      <x:c r="F32" s="2" t="str">
        <x:v>inputs/resumes_txt/CV-027.txt</x:v>
      </x:c>
    </x:row>
    <x:row r="33" ht="27" customHeight="1">
      <x:c r="A33" s="2" t="str">
        <x:v>CV-028</x:v>
      </x:c>
      <x:c r="B33" s="2" t="str">
        <x:v>财务助理</x:v>
      </x:c>
      <x:c r="C33" s="2" t="str">
        <x:v>Auden Ang</x:v>
      </x:c>
      <x:c r="D33" s="2" t="str">
        <x:v>双栏文本 PDF</x:v>
      </x:c>
      <x:c r="E33" s="2" t="str">
        <x:v>inputs/resumes_pdf/CV-028.pdf</x:v>
      </x:c>
      <x:c r="F33" s="2" t="str">
        <x:v>inputs/resumes_txt/CV-028.txt</x:v>
      </x:c>
    </x:row>
    <x:row r="34" ht="27" customHeight="1">
      <x:c r="A34" s="2" t="str">
        <x:v>CV-029</x:v>
      </x:c>
      <x:c r="B34" s="2" t="str">
        <x:v>财务助理</x:v>
      </x:c>
      <x:c r="C34" s="2" t="str">
        <x:v>Amani Noor</x:v>
      </x:c>
      <x:c r="D34" s="2" t="str">
        <x:v>单栏文本 PDF</x:v>
      </x:c>
      <x:c r="E34" s="2" t="str">
        <x:v>inputs/resumes_pdf/CV-029.pdf</x:v>
      </x:c>
      <x:c r="F34" s="2" t="str">
        <x:v>inputs/resumes_txt/CV-029.txt</x:v>
      </x:c>
    </x:row>
    <x:row r="35" ht="27" customHeight="1">
      <x:c r="A35" s="2" t="str">
        <x:v>CV-030</x:v>
      </x:c>
      <x:c r="B35" s="2" t="str">
        <x:v>软件开发</x:v>
      </x:c>
      <x:c r="C35" s="2" t="str">
        <x:v>Taylor Koh</x:v>
      </x:c>
      <x:c r="D35" s="2" t="str">
        <x:v>单栏文本 PDF</x:v>
      </x:c>
      <x:c r="E35" s="2" t="str">
        <x:v>inputs/resumes_pdf/CV-030.pdf</x:v>
      </x:c>
      <x:c r="F35" s="2" t="str">
        <x:v>inputs/resumes_txt/CV-030.txt</x:v>
      </x:c>
    </x:row>
    <x:row r="36" ht="27" customHeight="1">
      <x:c r="A36" s="2" t="str">
        <x:v>CV-031</x:v>
      </x:c>
      <x:c r="B36" s="2" t="str">
        <x:v>财务助理</x:v>
      </x:c>
      <x:c r="C36" s="2" t="str">
        <x:v>Harper Chen</x:v>
      </x:c>
      <x:c r="D36" s="2" t="str">
        <x:v>单栏文本 PDF</x:v>
      </x:c>
      <x:c r="E36" s="2" t="str">
        <x:v>inputs/resumes_pdf/CV-031.pdf</x:v>
      </x:c>
      <x:c r="F36" s="2" t="str">
        <x:v>inputs/resumes_txt/CV-031.txt</x:v>
      </x:c>
    </x:row>
    <x:row r="37" ht="27" customHeight="1">
      <x:c r="A37" s="2" t="str">
        <x:v>CV-032</x:v>
      </x:c>
      <x:c r="B37" s="2" t="str">
        <x:v>财务助理</x:v>
      </x:c>
      <x:c r="C37" s="2" t="str">
        <x:v>Jules Goh</x:v>
      </x:c>
      <x:c r="D37" s="2" t="str">
        <x:v>单栏文本 PDF</x:v>
      </x:c>
      <x:c r="E37" s="2" t="str">
        <x:v>inputs/resumes_pdf/CV-032.pdf</x:v>
      </x:c>
      <x:c r="F37" s="2" t="str">
        <x:v>inputs/resumes_txt/CV-032.txt</x:v>
      </x:c>
    </x:row>
    <x:row r="38" ht="27" customHeight="1">
      <x:c r="A38" s="2" t="str">
        <x:v>CV-033</x:v>
      </x:c>
      <x:c r="B38" s="2" t="str">
        <x:v>软件开发</x:v>
      </x:c>
      <x:c r="C38" s="2" t="str">
        <x:v>Casey Ng</x:v>
      </x:c>
      <x:c r="D38" s="2" t="str">
        <x:v>单栏文本 PDF</x:v>
      </x:c>
      <x:c r="E38" s="2" t="str">
        <x:v>inputs/resumes_pdf/CV-033.pdf</x:v>
      </x:c>
      <x:c r="F38" s="2" t="str">
        <x:v>inputs/resumes_txt/CV-033.txt</x:v>
      </x:c>
    </x:row>
    <x:row r="39" ht="27" customHeight="1">
      <x:c r="A39" s="2" t="str">
        <x:v>CV-034</x:v>
      </x:c>
      <x:c r="B39" s="2" t="str">
        <x:v>销售运营</x:v>
      </x:c>
      <x:c r="C39" s="2" t="str">
        <x:v>Marley Chen</x:v>
      </x:c>
      <x:c r="D39" s="2" t="str">
        <x:v>单栏文本 PDF</x:v>
      </x:c>
      <x:c r="E39" s="2" t="str">
        <x:v>inputs/resumes_pdf/CV-034.pdf</x:v>
      </x:c>
      <x:c r="F39" s="2" t="str">
        <x:v>inputs/resumes_txt/CV-034.txt</x:v>
      </x:c>
    </x:row>
    <x:row r="40" ht="27" customHeight="1">
      <x:c r="A40" s="2" t="str">
        <x:v>CV-035</x:v>
      </x:c>
      <x:c r="B40" s="2" t="str">
        <x:v>销售运营</x:v>
      </x:c>
      <x:c r="C40" s="2" t="str">
        <x:v>Indra Das</x:v>
      </x:c>
      <x:c r="D40" s="2" t="str">
        <x:v>扫描式 PDF</x:v>
      </x:c>
      <x:c r="E40" s="2" t="str">
        <x:v>inputs/resumes_pdf/CV-035.pdf</x:v>
      </x:c>
      <x:c r="F40" s="2" t="str">
        <x:v>inputs/resumes_txt/CV-035.txt</x:v>
      </x:c>
    </x:row>
    <x:row r="41" ht="27" customHeight="1">
      <x:c r="A41" s="2" t="str">
        <x:v>CV-036</x:v>
      </x:c>
      <x:c r="B41" s="2" t="str">
        <x:v>财务助理</x:v>
      </x:c>
      <x:c r="C41" s="2" t="str">
        <x:v>Lee Jia</x:v>
      </x:c>
      <x:c r="D41" s="2" t="str">
        <x:v>双栏文本 PDF</x:v>
      </x:c>
      <x:c r="E41" s="2" t="str">
        <x:v>inputs/resumes_pdf/CV-036.pdf</x:v>
      </x:c>
      <x:c r="F41" s="2" t="str">
        <x:v>inputs/resumes_txt/CV-036.txt</x:v>
      </x:c>
    </x:row>
    <x:row r="42" ht="27" customHeight="1">
      <x:c r="A42" s="2" t="str">
        <x:v>CV-037</x:v>
      </x:c>
      <x:c r="B42" s="2" t="str">
        <x:v>财务助理</x:v>
      </x:c>
      <x:c r="C42" s="2" t="str">
        <x:v>Logan Wong</x:v>
      </x:c>
      <x:c r="D42" s="2" t="str">
        <x:v>单栏文本 PDF</x:v>
      </x:c>
      <x:c r="E42" s="2" t="str">
        <x:v>inputs/resumes_pdf/CV-037.pdf</x:v>
      </x:c>
      <x:c r="F42" s="2" t="str">
        <x:v>inputs/resumes_txt/CV-037.txt</x:v>
      </x:c>
    </x:row>
    <x:row r="43" ht="27" customHeight="1">
      <x:c r="A43" s="2" t="str">
        <x:v>CV-038</x:v>
      </x:c>
      <x:c r="B43" s="2" t="str">
        <x:v>销售运营</x:v>
      </x:c>
      <x:c r="C43" s="2" t="str">
        <x:v>Sasha Pillai</x:v>
      </x:c>
      <x:c r="D43" s="2" t="str">
        <x:v>单栏文本 PDF</x:v>
      </x:c>
      <x:c r="E43" s="2" t="str">
        <x:v>inputs/resumes_pdf/CV-038.pdf</x:v>
      </x:c>
      <x:c r="F43" s="2" t="str">
        <x:v>inputs/resumes_txt/CV-038.txt</x:v>
      </x:c>
    </x:row>
    <x:row r="44" ht="27" customHeight="1">
      <x:c r="A44" s="2" t="str">
        <x:v>CV-039</x:v>
      </x:c>
      <x:c r="B44" s="2" t="str">
        <x:v>财务助理</x:v>
      </x:c>
      <x:c r="C44" s="2" t="str">
        <x:v>Rohan Menon</x:v>
      </x:c>
      <x:c r="D44" s="2" t="str">
        <x:v>单栏文本 PDF</x:v>
      </x:c>
      <x:c r="E44" s="2" t="str">
        <x:v>inputs/resumes_pdf/CV-039.pdf</x:v>
      </x:c>
      <x:c r="F44" s="2" t="str">
        <x:v>inputs/resumes_txt/CV-039.txt</x:v>
      </x:c>
    </x:row>
    <x:row r="45" ht="27" customHeight="1">
      <x:c r="A45" s="2" t="str">
        <x:v>CV-040</x:v>
      </x:c>
      <x:c r="B45" s="2" t="str">
        <x:v>财务助理</x:v>
      </x:c>
      <x:c r="C45" s="2" t="str">
        <x:v>Frankie Ho</x:v>
      </x:c>
      <x:c r="D45" s="2" t="str">
        <x:v>单栏文本 PDF</x:v>
      </x:c>
      <x:c r="E45" s="2" t="str">
        <x:v>inputs/resumes_pdf/CV-040.pdf</x:v>
      </x:c>
      <x:c r="F45" s="2" t="str">
        <x:v>inputs/resumes_txt/CV-040.txt</x:v>
      </x:c>
    </x:row>
    <x:row r="46" ht="27" customHeight="1">
      <x:c r="A46" s="2" t="str">
        <x:v>CV-041</x:v>
      </x:c>
      <x:c r="B46" s="2" t="str">
        <x:v>软件开发</x:v>
      </x:c>
      <x:c r="C46" s="2" t="str">
        <x:v>Nico Wong</x:v>
      </x:c>
      <x:c r="D46" s="2" t="str">
        <x:v>单栏文本 PDF</x:v>
      </x:c>
      <x:c r="E46" s="2" t="str">
        <x:v>inputs/resumes_pdf/CV-041.pdf</x:v>
      </x:c>
      <x:c r="F46" s="2" t="str">
        <x:v>inputs/resumes_txt/CV-041.txt</x:v>
      </x:c>
    </x:row>
    <x:row r="47" ht="27" customHeight="1">
      <x:c r="A47" s="2" t="str">
        <x:v>CV-042</x:v>
      </x:c>
      <x:c r="B47" s="2" t="str">
        <x:v>软件开发</x:v>
      </x:c>
      <x:c r="C47" s="2" t="str">
        <x:v>Alex Lim</x:v>
      </x:c>
      <x:c r="D47" s="2" t="str">
        <x:v>双栏文本 PDF</x:v>
      </x:c>
      <x:c r="E47" s="2" t="str">
        <x:v>inputs/resumes_pdf/CV-042.pdf</x:v>
      </x:c>
      <x:c r="F47" s="2" t="str">
        <x:v>inputs/resumes_txt/CV-042.txt</x:v>
      </x:c>
    </x:row>
    <x:row r="48" ht="27" customHeight="1">
      <x:c r="A48" s="2" t="str">
        <x:v>CV-043</x:v>
      </x:c>
      <x:c r="B48" s="2" t="str">
        <x:v>销售运营</x:v>
      </x:c>
      <x:c r="C48" s="2" t="str">
        <x:v>Zuri Raman</x:v>
      </x:c>
      <x:c r="D48" s="2" t="str">
        <x:v>单栏文本 PDF</x:v>
      </x:c>
      <x:c r="E48" s="2" t="str">
        <x:v>inputs/resumes_pdf/CV-043.pdf</x:v>
      </x:c>
      <x:c r="F48" s="2" t="str">
        <x:v>inputs/resumes_txt/CV-043.txt</x:v>
      </x:c>
    </x:row>
    <x:row r="49" ht="27" customHeight="1">
      <x:c r="A49" s="2" t="str">
        <x:v>CV-044</x:v>
      </x:c>
      <x:c r="B49" s="2" t="str">
        <x:v>财务助理</x:v>
      </x:c>
      <x:c r="C49" s="2" t="str">
        <x:v>Jaya Pillai</x:v>
      </x:c>
      <x:c r="D49" s="2" t="str">
        <x:v>单栏文本 PDF</x:v>
      </x:c>
      <x:c r="E49" s="2" t="str">
        <x:v>inputs/resumes_pdf/CV-044.pdf</x:v>
      </x:c>
      <x:c r="F49" s="2" t="str">
        <x:v>inputs/resumes_txt/CV-044.txt</x:v>
      </x:c>
    </x:row>
    <x:row r="50" ht="27" customHeight="1">
      <x:c r="A50" s="2" t="str">
        <x:v>CV-045</x:v>
      </x:c>
      <x:c r="B50" s="2" t="str">
        <x:v>财务助理</x:v>
      </x:c>
      <x:c r="C50" s="2" t="str">
        <x:v>Dara Raman</x:v>
      </x:c>
      <x:c r="D50" s="2" t="str">
        <x:v>扫描式 PDF</x:v>
      </x:c>
      <x:c r="E50" s="2" t="str">
        <x:v>inputs/resumes_pdf/CV-045.pdf</x:v>
      </x:c>
      <x:c r="F50" s="2" t="str">
        <x:v>inputs/resumes_txt/CV-045.txt</x:v>
      </x:c>
    </x:row>
    <x:row r="51" ht="27" customHeight="1">
      <x:c r="A51" s="2" t="str">
        <x:v>CV-046</x:v>
      </x:c>
      <x:c r="B51" s="2" t="str">
        <x:v>软件开发</x:v>
      </x:c>
      <x:c r="C51" s="2" t="str">
        <x:v>Ellis Seah</x:v>
      </x:c>
      <x:c r="D51" s="2" t="str">
        <x:v>单栏文本 PDF</x:v>
      </x:c>
      <x:c r="E51" s="2" t="str">
        <x:v>inputs/resumes_pdf/CV-046.pdf</x:v>
      </x:c>
      <x:c r="F51" s="2" t="str">
        <x:v>inputs/resumes_txt/CV-046.txt</x:v>
      </x:c>
    </x:row>
    <x:row r="52" ht="27" customHeight="1">
      <x:c r="A52" s="2" t="str">
        <x:v>CV-047</x:v>
      </x:c>
      <x:c r="B52" s="2" t="str">
        <x:v>软件开发</x:v>
      </x:c>
      <x:c r="C52" s="2" t="str">
        <x:v>Jamie Tan</x:v>
      </x:c>
      <x:c r="D52" s="2" t="str">
        <x:v>单栏文本 PDF</x:v>
      </x:c>
      <x:c r="E52" s="2" t="str">
        <x:v>inputs/resumes_pdf/CV-047.pdf</x:v>
      </x:c>
      <x:c r="F52" s="2" t="str">
        <x:v>inputs/resumes_txt/CV-047.txt</x:v>
      </x:c>
    </x:row>
    <x:row r="53" ht="27" customHeight="1">
      <x:c r="A53" s="2" t="str">
        <x:v>CV-048</x:v>
      </x:c>
      <x:c r="B53" s="2" t="str">
        <x:v>财务助理</x:v>
      </x:c>
      <x:c r="C53" s="2" t="str">
        <x:v>Chris Lee</x:v>
      </x:c>
      <x:c r="D53" s="2" t="str">
        <x:v>双栏文本 PDF</x:v>
      </x:c>
      <x:c r="E53" s="2" t="str">
        <x:v>inputs/resumes_pdf/CV-048.pdf</x:v>
      </x:c>
      <x:c r="F53" s="2" t="str">
        <x:v>inputs/resumes_txt/CV-048.txt</x:v>
      </x:c>
    </x:row>
    <x:row r="54" ht="27" customHeight="1">
      <x:c r="A54" s="2" t="str">
        <x:v>CV-049</x:v>
      </x:c>
      <x:c r="B54" s="2" t="str">
        <x:v>软件开发</x:v>
      </x:c>
      <x:c r="C54" s="2" t="str">
        <x:v>Avery Chen</x:v>
      </x:c>
      <x:c r="D54" s="2" t="str">
        <x:v>单栏文本 PDF</x:v>
      </x:c>
      <x:c r="E54" s="2" t="str">
        <x:v>inputs/resumes_pdf/CV-049.pdf</x:v>
      </x:c>
      <x:c r="F54" s="2" t="str">
        <x:v>inputs/resumes_txt/CV-049.txt</x:v>
      </x:c>
    </x:row>
    <x:row r="55" ht="27" customHeight="1">
      <x:c r="A55" s="2" t="str">
        <x:v>CV-050</x:v>
      </x:c>
      <x:c r="B55" s="2" t="str">
        <x:v>销售运营</x:v>
      </x:c>
      <x:c r="C55" s="2" t="str">
        <x:v>Hayden Teo</x:v>
      </x:c>
      <x:c r="D55" s="2" t="str">
        <x:v>双栏文本 PDF</x:v>
      </x:c>
      <x:c r="E55" s="2" t="str">
        <x:v>inputs/resumes_pdf/CV-050.pdf</x:v>
      </x:c>
      <x:c r="F55" s="2" t="str">
        <x:v>inputs/resumes_txt/CV-050.txt</x:v>
      </x:c>
    </x:row>
    <x:row r="56" ht="27" customHeight="1">
      <x:c r="A56" s="2" t="str">
        <x:v>CV-051</x:v>
      </x:c>
      <x:c r="B56" s="2" t="str">
        <x:v>销售运营</x:v>
      </x:c>
      <x:c r="C56" s="2" t="str">
        <x:v>Lennox Lau</x:v>
      </x:c>
      <x:c r="D56" s="2" t="str">
        <x:v>双栏文本 PDF</x:v>
      </x:c>
      <x:c r="E56" s="2" t="str">
        <x:v>inputs/resumes_pdf/CV-051.pdf</x:v>
      </x:c>
      <x:c r="F56" s="2" t="str">
        <x:v>inputs/resumes_txt/CV-051.txt</x:v>
      </x:c>
    </x:row>
    <x:row r="57" ht="27" customHeight="1">
      <x:c r="A57" s="2" t="str">
        <x:v>CV-052</x:v>
      </x:c>
      <x:c r="B57" s="2" t="str">
        <x:v>财务助理</x:v>
      </x:c>
      <x:c r="C57" s="2" t="str">
        <x:v>Kai Tan</x:v>
      </x:c>
      <x:c r="D57" s="2" t="str">
        <x:v>单栏文本 PDF</x:v>
      </x:c>
      <x:c r="E57" s="2" t="str">
        <x:v>inputs/resumes_pdf/CV-052.pdf</x:v>
      </x:c>
      <x:c r="F57" s="2" t="str">
        <x:v>inputs/resumes_txt/CV-052.txt</x:v>
      </x:c>
    </x:row>
    <x:row r="58" ht="27" customHeight="1">
      <x:c r="A58" s="2" t="str">
        <x:v>CV-053</x:v>
      </x:c>
      <x:c r="B58" s="2" t="str">
        <x:v>财务助理</x:v>
      </x:c>
      <x:c r="C58" s="2" t="str">
        <x:v>Shannon Ng</x:v>
      </x:c>
      <x:c r="D58" s="2" t="str">
        <x:v>单栏文本 PDF</x:v>
      </x:c>
      <x:c r="E58" s="2" t="str">
        <x:v>inputs/resumes_pdf/CV-053.pdf</x:v>
      </x:c>
      <x:c r="F58" s="2" t="str">
        <x:v>inputs/resumes_txt/CV-053.txt</x:v>
      </x:c>
    </x:row>
    <x:row r="59" ht="27" customHeight="1">
      <x:c r="A59" s="2" t="str">
        <x:v>CV-054</x:v>
      </x:c>
      <x:c r="B59" s="2" t="str">
        <x:v>销售运营</x:v>
      </x:c>
      <x:c r="C59" s="2" t="str">
        <x:v>Rowan Goh</x:v>
      </x:c>
      <x:c r="D59" s="2" t="str">
        <x:v>单栏文本 PDF</x:v>
      </x:c>
      <x:c r="E59" s="2" t="str">
        <x:v>inputs/resumes_pdf/CV-054.pdf</x:v>
      </x:c>
      <x:c r="F59" s="2" t="str">
        <x:v>inputs/resumes_txt/CV-054.txt</x:v>
      </x:c>
    </x:row>
    <x:row r="60" ht="27" customHeight="1">
      <x:c r="A60" s="2" t="str">
        <x:v>CV-055</x:v>
      </x:c>
      <x:c r="B60" s="2" t="str">
        <x:v>软件开发</x:v>
      </x:c>
      <x:c r="C60" s="2" t="str">
        <x:v>Quinn Yeo</x:v>
      </x:c>
      <x:c r="D60" s="2" t="str">
        <x:v>双栏文本 PDF</x:v>
      </x:c>
      <x:c r="E60" s="2" t="str">
        <x:v>inputs/resumes_pdf/CV-055.pdf</x:v>
      </x:c>
      <x:c r="F60" s="2" t="str">
        <x:v>inputs/resumes_txt/CV-055.txt</x:v>
      </x:c>
    </x:row>
    <x:row r="61" ht="27" customHeight="1">
      <x:c r="A61" s="2" t="str">
        <x:v>CV-056</x:v>
      </x:c>
      <x:c r="B61" s="2" t="str">
        <x:v>销售运营</x:v>
      </x:c>
      <x:c r="C61" s="2" t="str">
        <x:v>Blair Koh</x:v>
      </x:c>
      <x:c r="D61" s="2" t="str">
        <x:v>单栏文本 PDF</x:v>
      </x:c>
      <x:c r="E61" s="2" t="str">
        <x:v>inputs/resumes_pdf/CV-056.pdf</x:v>
      </x:c>
      <x:c r="F61" s="2" t="str">
        <x:v>inputs/resumes_txt/CV-056.txt</x:v>
      </x:c>
    </x:row>
    <x:row r="62" ht="27" customHeight="1">
      <x:c r="A62" s="2" t="str">
        <x:v>CV-057</x:v>
      </x:c>
      <x:c r="B62" s="2" t="str">
        <x:v>软件开发</x:v>
      </x:c>
      <x:c r="C62" s="2" t="str">
        <x:v>Riley Goh</x:v>
      </x:c>
      <x:c r="D62" s="2" t="str">
        <x:v>扫描式 PDF</x:v>
      </x:c>
      <x:c r="E62" s="2" t="str">
        <x:v>inputs/resumes_pdf/CV-057.pdf</x:v>
      </x:c>
      <x:c r="F62" s="2" t="str">
        <x:v>inputs/resumes_txt/CV-057.txt</x:v>
      </x:c>
    </x:row>
    <x:row r="63" ht="27" customHeight="1">
      <x:c r="A63" s="2" t="str">
        <x:v>CV-058</x:v>
      </x:c>
      <x:c r="B63" s="2" t="str">
        <x:v>销售运营</x:v>
      </x:c>
      <x:c r="C63" s="2" t="str">
        <x:v>Cameron Ng</x:v>
      </x:c>
      <x:c r="D63" s="2" t="str">
        <x:v>单栏文本 PDF</x:v>
      </x:c>
      <x:c r="E63" s="2" t="str">
        <x:v>inputs/resumes_pdf/CV-058.pdf</x:v>
      </x:c>
      <x:c r="F63" s="2" t="str">
        <x:v>inputs/resumes_txt/CV-058.txt</x:v>
      </x:c>
    </x:row>
    <x:row r="64" ht="27" customHeight="1">
      <x:c r="A64" s="2" t="str">
        <x:v>CV-059</x:v>
      </x:c>
      <x:c r="B64" s="2" t="str">
        <x:v>财务助理</x:v>
      </x:c>
      <x:c r="C64" s="2" t="str">
        <x:v>Charlie Yeo</x:v>
      </x:c>
      <x:c r="D64" s="2" t="str">
        <x:v>双栏文本 PDF</x:v>
      </x:c>
      <x:c r="E64" s="2" t="str">
        <x:v>inputs/resumes_pdf/CV-059.pdf</x:v>
      </x:c>
      <x:c r="F64" s="2" t="str">
        <x:v>inputs/resumes_txt/CV-059.txt</x:v>
      </x:c>
    </x:row>
    <x:row r="65" ht="27" customHeight="1">
      <x:c r="A65" s="2" t="str">
        <x:v>CV-060</x:v>
      </x:c>
      <x:c r="B65" s="2" t="str">
        <x:v>销售运营</x:v>
      </x:c>
      <x:c r="C65" s="2" t="str">
        <x:v>Noel Seah</x:v>
      </x:c>
      <x:c r="D65" s="2" t="str">
        <x:v>单栏文本 PDF</x:v>
      </x:c>
      <x:c r="E65" s="2" t="str">
        <x:v>inputs/resumes_pdf/CV-060.pdf</x:v>
      </x:c>
      <x:c r="F65" s="2" t="str">
        <x:v>inputs/resumes_txt/CV-060.txt</x:v>
      </x:c>
    </x:row>
  </x:sheetData>
  <x:pageMargins left="0.7" right="0.7" top="0.75" bottom="0.75" header="0.3" footer="0.3"/>
  <x:tableParts count="1">
    <x:tablePart xmlns:r="http://schemas.openxmlformats.org/officeDocument/2006/relationships" r:id="R7101506f784548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4.4399995803833" hidden="0" customWidth="1"/>
    <x:col min="3" max="3" width="10.5600004196167" hidden="0" customWidth="1"/>
    <x:col min="4" max="4" width="95.55999755859375" hidden="0" customWidth="1"/>
  </x:cols>
  <x:sheetData>
    <x:row r="1" ht="27" customHeight="1">
      <x:c r="A1" s="2"/>
      <x:c r="B1" s="2"/>
      <x:c r="C1" s="2"/>
      <x:c r="D1" s="2"/>
    </x:row>
    <x:row r="2" ht="34" customHeight="1">
      <x:c r="A2" s="3" t="str">
        <x:v>三个演示岗位的要求</x:v>
      </x:c>
      <x:c r="B2" s="2"/>
      <x:c r="C2" s="2"/>
      <x:c r="D2" s="2"/>
    </x:row>
    <x:row r="3" ht="27" customHeight="1">
      <x:c r="A3" s="2" t="str">
        <x:v>自拟岗位，非企业提供的正式 JD。完整英文岗位描述在 inputs/jobs/。学历接受等效实践经历。</x:v>
      </x:c>
      <x:c r="B3" s="2"/>
      <x:c r="C3" s="2"/>
      <x:c r="D3" s="2"/>
    </x:row>
    <x:row r="4" ht="27" customHeight="1">
      <x:c r="A4" s="2"/>
      <x:c r="B4" s="2"/>
      <x:c r="C4" s="2"/>
      <x:c r="D4" s="2"/>
    </x:row>
    <x:row r="5" ht="32" customHeight="1">
      <x:c r="A5" s="6" t="str">
        <x:v>岗位 ID</x:v>
      </x:c>
      <x:c r="B5" s="6" t="str">
        <x:v>岗位</x:v>
      </x:c>
      <x:c r="C5" s="6" t="str">
        <x:v>条目</x:v>
      </x:c>
      <x:c r="D5" s="6" t="str">
        <x:v>必需的工作证据</x:v>
      </x:c>
    </x:row>
    <x:row r="6" ht="50" customHeight="1">
      <x:c r="A6" s="2" t="str">
        <x:v>JD-001</x:v>
      </x:c>
      <x:c r="B6" s="2" t="str">
        <x:v>软件开发</x:v>
      </x:c>
      <x:c r="C6" s="2" t="str">
        <x:v>C1</x:v>
      </x:c>
      <x:c r="D6" s="8" t="str">
        <x:v>至少 24 个不重复的商业软件开发月份；带薪实习和商业合同计入，个人项目不计入。</x:v>
      </x:c>
    </x:row>
    <x:row r="7" ht="50" customHeight="1">
      <x:c r="A7" s="2" t="str">
        <x:v>JD-001</x:v>
      </x:c>
      <x:c r="B7" s="2" t="str">
        <x:v>软件开发</x:v>
      </x:c>
      <x:c r="C7" s="2" t="str">
        <x:v>C2</x:v>
      </x:c>
      <x:c r="D7" s="8" t="str">
        <x:v>有用 Python 或 JavaScript/TypeScript 实现后端业务逻辑及 HTTP API 的证据。</x:v>
      </x:c>
    </x:row>
    <x:row r="8" ht="50" customHeight="1">
      <x:c r="A8" s="2" t="str">
        <x:v>JD-001</x:v>
      </x:c>
      <x:c r="B8" s="2" t="str">
        <x:v>软件开发</x:v>
      </x:c>
      <x:c r="C8" s="2" t="str">
        <x:v>C3</x:v>
      </x:c>
      <x:c r="D8" s="8" t="str">
        <x:v>有 SQL 查询、关系数据库建模或数据库迁移的实际项目证据。</x:v>
      </x:c>
    </x:row>
    <x:row r="9" ht="50" customHeight="1">
      <x:c r="A9" s="2" t="str">
        <x:v>JD-001</x:v>
      </x:c>
      <x:c r="B9" s="2" t="str">
        <x:v>软件开发</x:v>
      </x:c>
      <x:c r="C9" s="2" t="str">
        <x:v>C4</x:v>
      </x:c>
      <x:c r="D9" s="8" t="str">
        <x:v>同时有 Git 协作与自动化软件测试的证据。</x:v>
      </x:c>
    </x:row>
    <x:row r="10" ht="50" customHeight="1">
      <x:c r="A10" s="2" t="str">
        <x:v>JD-002</x:v>
      </x:c>
      <x:c r="B10" s="2" t="str">
        <x:v>销售运营</x:v>
      </x:c>
      <x:c r="C10" s="2" t="str">
        <x:v>C1</x:v>
      </x:c>
      <x:c r="D10" s="8" t="str">
        <x:v>至少 12 个不重复的 B2B 销售运营或销售行政工作月份；带薪实习计入。</x:v>
      </x:c>
    </x:row>
    <x:row r="11" ht="50" customHeight="1">
      <x:c r="A11" s="2" t="str">
        <x:v>JD-002</x:v>
      </x:c>
      <x:c r="B11" s="2" t="str">
        <x:v>销售运营</x:v>
      </x:c>
      <x:c r="C11" s="2" t="str">
        <x:v>C2</x:v>
      </x:c>
      <x:c r="D11" s="8" t="str">
        <x:v>有维护 CRM 客户、商机或销售管线记录的证据；接受等效 CRM。</x:v>
      </x:c>
    </x:row>
    <x:row r="12" ht="50" customHeight="1">
      <x:c r="A12" s="2" t="str">
        <x:v>JD-002</x:v>
      </x:c>
      <x:c r="B12" s="2" t="str">
        <x:v>销售运营</x:v>
      </x:c>
      <x:c r="C12" s="2" t="str">
        <x:v>C3</x:v>
      </x:c>
      <x:c r="D12" s="8" t="str">
        <x:v>有使用透视表或查找函数进行电子表格销售报告的证据。</x:v>
      </x:c>
    </x:row>
    <x:row r="13" ht="50" customHeight="1">
      <x:c r="A13" s="2" t="str">
        <x:v>JD-002</x:v>
      </x:c>
      <x:c r="B13" s="2" t="str">
        <x:v>销售运营</x:v>
      </x:c>
      <x:c r="C13" s="2" t="str">
        <x:v>C4</x:v>
      </x:c>
      <x:c r="D13" s="8" t="str">
        <x:v>有准备 B2B 报价，并协调客户跟进或订单交接的证据。</x:v>
      </x:c>
    </x:row>
    <x:row r="14" ht="50" customHeight="1">
      <x:c r="A14" s="2" t="str">
        <x:v>JD-003</x:v>
      </x:c>
      <x:c r="B14" s="2" t="str">
        <x:v>财务助理</x:v>
      </x:c>
      <x:c r="C14" s="2" t="str">
        <x:v>C1</x:v>
      </x:c>
      <x:c r="D14" s="8" t="str">
        <x:v>至少 12 个不重复的记账或财务支持工作月份；带薪实习计入。</x:v>
      </x:c>
    </x:row>
    <x:row r="15" ht="50" customHeight="1">
      <x:c r="A15" s="2" t="str">
        <x:v>JD-003</x:v>
      </x:c>
      <x:c r="B15" s="2" t="str">
        <x:v>财务助理</x:v>
      </x:c>
      <x:c r="C15" s="2" t="str">
        <x:v>C2</x:v>
      </x:c>
      <x:c r="D15" s="8" t="str">
        <x:v>同时有应付账款（AP）与应收账款（AR）实际任务的证据。</x:v>
      </x:c>
    </x:row>
    <x:row r="16" ht="50" customHeight="1">
      <x:c r="A16" s="2" t="str">
        <x:v>JD-003</x:v>
      </x:c>
      <x:c r="B16" s="2" t="str">
        <x:v>财务助理</x:v>
      </x:c>
      <x:c r="C16" s="2" t="str">
        <x:v>C3</x:v>
      </x:c>
      <x:c r="D16" s="8" t="str">
        <x:v>有执行银行对账及调查差异的证据。</x:v>
      </x:c>
    </x:row>
    <x:row r="17" ht="50" customHeight="1">
      <x:c r="A17" s="2" t="str">
        <x:v>JD-003</x:v>
      </x:c>
      <x:c r="B17" s="2" t="str">
        <x:v>财务助理</x:v>
      </x:c>
      <x:c r="C17" s="2" t="str">
        <x:v>C4</x:v>
      </x:c>
      <x:c r="D17" s="8" t="str">
        <x:v>有同时使用电子表格与会计软件完成财务任务的证据。</x:v>
      </x:c>
    </x:row>
    <x:row r="18" ht="27" customHeight="1">
      <x:c r="A18" s="2"/>
      <x:c r="B18" s="2"/>
      <x:c r="C18" s="2"/>
      <x:c r="D18" s="2"/>
    </x:row>
  </x:sheetData>
  <x:pageMargins left="0.7" right="0.7" top="0.75" bottom="0.75" header="0.3" footer="0.3"/>
  <x:tableParts count="1">
    <x:tablePart xmlns:r="http://schemas.openxmlformats.org/officeDocument/2006/relationships" r:id="R67607a36dc1246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0" hidden="0" customWidth="1"/>
    <x:col min="3" max="3" width="11.67000007629394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890000343322754" hidden="0" customWidth="1"/>
    <x:col min="9" max="9" width="54.439998626708984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参考标注（不要输入筛选模型）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2" t="str">
        <x:v>AI 编写的初始参考，尚未经招聘人员验证。C1-C4 见“岗位要求”；完整引用见 criterion_evidence.csv。</x:v>
      </x:c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6" t="str">
        <x:v>候选人 ID</x:v>
      </x:c>
      <x:c r="B5" s="6" t="str">
        <x:v>岗位 ID</x:v>
      </x:c>
      <x:c r="C5" s="6" t="str">
        <x:v>数据用途</x:v>
      </x:c>
      <x:c r="D5" s="6" t="str">
        <x:v>C1</x:v>
      </x:c>
      <x:c r="E5" s="6" t="str">
        <x:v>C2</x:v>
      </x:c>
      <x:c r="F5" s="6" t="str">
        <x:v>C3</x:v>
      </x:c>
      <x:c r="G5" s="6" t="str">
        <x:v>C4</x:v>
      </x:c>
      <x:c r="H5" s="6" t="str">
        <x:v>参考结论</x:v>
      </x:c>
      <x:c r="I5" s="6" t="str">
        <x:v>需追问事项</x:v>
      </x:c>
    </x:row>
    <x:row r="6" ht="48" customHeight="1">
      <x:c r="A6" s="2" t="str">
        <x:v>CV-001</x:v>
      </x:c>
      <x:c r="B6" s="2" t="str">
        <x:v>JD-001</x:v>
      </x:c>
      <x:c r="C6" s="2" t="str">
        <x:v>保留测试</x:v>
      </x:c>
      <x:c r="D6" s="7" t="str">
        <x:v>有证据</x:v>
      </x:c>
      <x:c r="E6" s="7" t="str">
        <x:v>有证据</x:v>
      </x:c>
      <x:c r="F6" s="7" t="str">
        <x:v>有证据</x:v>
      </x:c>
      <x:c r="G6" s="7" t="str">
        <x:v>有证据</x:v>
      </x:c>
      <x:c r="H6" s="2" t="str">
        <x:f>IF(COUNTIFS(D6:G6,"待澄清")&gt;0,"需要澄清",IF(COUNTIFS(D6:G6,"有证据")=4,"证据完整",IF(COUNTIFS(D6:G6,"有证据")&gt;=2,"部分满足","证据较少")))</x:f>
        <x:v>证据完整</x:v>
      </x:c>
      <x:c r="I6" s="8" t="str">
        <x:v>无预设追问</x:v>
      </x:c>
    </x:row>
    <x:row r="7" ht="48" customHeight="1">
      <x:c r="A7" s="2" t="str">
        <x:v>CV-002</x:v>
      </x:c>
      <x:c r="B7" s="2" t="str">
        <x:v>JD-003</x:v>
      </x:c>
      <x:c r="C7" s="2" t="str">
        <x:v>开发</x:v>
      </x:c>
      <x:c r="D7" s="7" t="str">
        <x:v>未体现</x:v>
      </x:c>
      <x:c r="E7" s="7" t="str">
        <x:v>未体现</x:v>
      </x:c>
      <x:c r="F7" s="7" t="str">
        <x:v>明确不满足</x:v>
      </x:c>
      <x:c r="G7" s="7" t="str">
        <x:v>明确不满足</x:v>
      </x:c>
      <x:c r="H7" s="2" t="str">
        <x:f>IF(COUNTIFS(D7:G7,"待澄清")&gt;0,"需要澄清",IF(COUNTIFS(D7:G7,"有证据")=4,"证据完整",IF(COUNTIFS(D7:G7,"有证据")&gt;=2,"部分满足","证据较少")))</x:f>
        <x:v>证据较少</x:v>
      </x:c>
      <x:c r="I7" s="8" t="str">
        <x:v>无预设追问</x:v>
      </x:c>
    </x:row>
    <x:row r="8" ht="48" customHeight="1">
      <x:c r="A8" s="2" t="str">
        <x:v>CV-003</x:v>
      </x:c>
      <x:c r="B8" s="2" t="str">
        <x:v>JD-002</x:v>
      </x:c>
      <x:c r="C8" s="2" t="str">
        <x:v>开发</x:v>
      </x:c>
      <x:c r="D8" s="7" t="str">
        <x:v>明确不满足</x:v>
      </x:c>
      <x:c r="E8" s="7" t="str">
        <x:v>有证据</x:v>
      </x:c>
      <x:c r="F8" s="7" t="str">
        <x:v>明确不满足</x:v>
      </x:c>
      <x:c r="G8" s="7" t="str">
        <x:v>有证据</x:v>
      </x:c>
      <x:c r="H8" s="2" t="str">
        <x:f>IF(COUNTIFS(D8:G8,"待澄清")&gt;0,"需要澄清",IF(COUNTIFS(D8:G8,"有证据")=4,"证据完整",IF(COUNTIFS(D8:G8,"有证据")&gt;=2,"部分满足","证据较少")))</x:f>
        <x:v>部分满足</x:v>
      </x:c>
      <x:c r="I8" s="8" t="str">
        <x:v>无预设追问</x:v>
      </x:c>
    </x:row>
    <x:row r="9" ht="48" customHeight="1">
      <x:c r="A9" s="2" t="str">
        <x:v>CV-004</x:v>
      </x:c>
      <x:c r="B9" s="2" t="str">
        <x:v>JD-003</x:v>
      </x:c>
      <x:c r="C9" s="2" t="str">
        <x:v>开发</x:v>
      </x:c>
      <x:c r="D9" s="7" t="str">
        <x:v>有证据</x:v>
      </x:c>
      <x:c r="E9" s="7" t="str">
        <x:v>有证据</x:v>
      </x:c>
      <x:c r="F9" s="7" t="str">
        <x:v>待澄清</x:v>
      </x:c>
      <x:c r="G9" s="7" t="str">
        <x:v>有证据</x:v>
      </x:c>
      <x:c r="H9" s="2" t="str">
        <x:f>IF(COUNTIFS(D9:G9,"待澄清")&gt;0,"需要澄清",IF(COUNTIFS(D9:G9,"有证据")=4,"证据完整",IF(COUNTIFS(D9:G9,"有证据")&gt;=2,"部分满足","证据较少")))</x:f>
        <x:v>需要澄清</x:v>
      </x:c>
      <x:c r="I9" s="8" t="str">
        <x:v>请说明你本人具体完成了哪些相关任务，并提供一个可核对的工作示例。</x:v>
      </x:c>
    </x:row>
    <x:row r="10" ht="48" customHeight="1">
      <x:c r="A10" s="2" t="str">
        <x:v>CV-005</x:v>
      </x:c>
      <x:c r="B10" s="2" t="str">
        <x:v>JD-002</x:v>
      </x:c>
      <x:c r="C10" s="2" t="str">
        <x:v>演示</x:v>
      </x:c>
      <x:c r="D10" s="7" t="str">
        <x:v>待澄清</x:v>
      </x:c>
      <x:c r="E10" s="7" t="str">
        <x:v>有证据</x:v>
      </x:c>
      <x:c r="F10" s="7" t="str">
        <x:v>有证据</x:v>
      </x:c>
      <x:c r="G10" s="7" t="str">
        <x:v>有证据</x:v>
      </x:c>
      <x:c r="H10" s="2" t="str">
        <x:f>IF(COUNTIFS(D10:G10,"待澄清")&gt;0,"需要澄清",IF(COUNTIFS(D10:G10,"有证据")=4,"证据完整",IF(COUNTIFS(D10:G10,"有证据")&gt;=2,"部分满足","证据较少")))</x:f>
        <x:v>需要澄清</x:v>
      </x:c>
      <x:c r="I10" s="8" t="str">
        <x:v>请补充该岗位的起止年月，以核实相关工作时长。</x:v>
      </x:c>
    </x:row>
    <x:row r="11" ht="48" customHeight="1">
      <x:c r="A11" s="2" t="str">
        <x:v>CV-006</x:v>
      </x:c>
      <x:c r="B11" s="2" t="str">
        <x:v>JD-003</x:v>
      </x:c>
      <x:c r="C11" s="2" t="str">
        <x:v>保留测试</x:v>
      </x:c>
      <x:c r="D11" s="7" t="str">
        <x:v>有证据</x:v>
      </x:c>
      <x:c r="E11" s="7" t="str">
        <x:v>有证据</x:v>
      </x:c>
      <x:c r="F11" s="7" t="str">
        <x:v>有证据</x:v>
      </x:c>
      <x:c r="G11" s="7" t="str">
        <x:v>有证据</x:v>
      </x:c>
      <x:c r="H11" s="2" t="str">
        <x:f>IF(COUNTIFS(D11:G11,"待澄清")&gt;0,"需要澄清",IF(COUNTIFS(D11:G11,"有证据")=4,"证据完整",IF(COUNTIFS(D11:G11,"有证据")&gt;=2,"部分满足","证据较少")))</x:f>
        <x:v>证据完整</x:v>
      </x:c>
      <x:c r="I11" s="8" t="str">
        <x:v>无预设追问</x:v>
      </x:c>
    </x:row>
    <x:row r="12" ht="48" customHeight="1">
      <x:c r="A12" s="2" t="str">
        <x:v>CV-007</x:v>
      </x:c>
      <x:c r="B12" s="2" t="str">
        <x:v>JD-002</x:v>
      </x:c>
      <x:c r="C12" s="2" t="str">
        <x:v>开发</x:v>
      </x:c>
      <x:c r="D12" s="7" t="str">
        <x:v>有证据</x:v>
      </x:c>
      <x:c r="E12" s="7" t="str">
        <x:v>有证据</x:v>
      </x:c>
      <x:c r="F12" s="7" t="str">
        <x:v>有证据</x:v>
      </x:c>
      <x:c r="G12" s="7" t="str">
        <x:v>明确不满足</x:v>
      </x:c>
      <x:c r="H12" s="2" t="str">
        <x:f>IF(COUNTIFS(D12:G12,"待澄清")&gt;0,"需要澄清",IF(COUNTIFS(D12:G12,"有证据")=4,"证据完整",IF(COUNTIFS(D12:G12,"有证据")&gt;=2,"部分满足","证据较少")))</x:f>
        <x:v>部分满足</x:v>
      </x:c>
      <x:c r="I12" s="8" t="str">
        <x:v>无预设追问</x:v>
      </x:c>
    </x:row>
    <x:row r="13" ht="48" customHeight="1">
      <x:c r="A13" s="2" t="str">
        <x:v>CV-008</x:v>
      </x:c>
      <x:c r="B13" s="2" t="str">
        <x:v>JD-003</x:v>
      </x:c>
      <x:c r="C13" s="2" t="str">
        <x:v>保留测试</x:v>
      </x:c>
      <x:c r="D13" s="7" t="str">
        <x:v>未体现</x:v>
      </x:c>
      <x:c r="E13" s="7" t="str">
        <x:v>未体现</x:v>
      </x:c>
      <x:c r="F13" s="7" t="str">
        <x:v>明确不满足</x:v>
      </x:c>
      <x:c r="G13" s="7" t="str">
        <x:v>未体现</x:v>
      </x:c>
      <x:c r="H13" s="2" t="str">
        <x:f>IF(COUNTIFS(D13:G13,"待澄清")&gt;0,"需要澄清",IF(COUNTIFS(D13:G13,"有证据")=4,"证据完整",IF(COUNTIFS(D13:G13,"有证据")&gt;=2,"部分满足","证据较少")))</x:f>
        <x:v>证据较少</x:v>
      </x:c>
      <x:c r="I13" s="8" t="str">
        <x:v>无预设追问</x:v>
      </x:c>
    </x:row>
    <x:row r="14" ht="48" customHeight="1">
      <x:c r="A14" s="2" t="str">
        <x:v>CV-009</x:v>
      </x:c>
      <x:c r="B14" s="2" t="str">
        <x:v>JD-001</x:v>
      </x:c>
      <x:c r="C14" s="2" t="str">
        <x:v>保留测试</x:v>
      </x:c>
      <x:c r="D14" s="7" t="str">
        <x:v>明确不满足</x:v>
      </x:c>
      <x:c r="E14" s="7" t="str">
        <x:v>有证据</x:v>
      </x:c>
      <x:c r="F14" s="7" t="str">
        <x:v>明确不满足</x:v>
      </x:c>
      <x:c r="G14" s="7" t="str">
        <x:v>有证据</x:v>
      </x:c>
      <x:c r="H14" s="2" t="str">
        <x:f>IF(COUNTIFS(D14:G14,"待澄清")&gt;0,"需要澄清",IF(COUNTIFS(D14:G14,"有证据")=4,"证据完整",IF(COUNTIFS(D14:G14,"有证据")&gt;=2,"部分满足","证据较少")))</x:f>
        <x:v>部分满足</x:v>
      </x:c>
      <x:c r="I14" s="8" t="str">
        <x:v>无预设追问</x:v>
      </x:c>
    </x:row>
    <x:row r="15" ht="48" customHeight="1">
      <x:c r="A15" s="2" t="str">
        <x:v>CV-010</x:v>
      </x:c>
      <x:c r="B15" s="2" t="str">
        <x:v>JD-001</x:v>
      </x:c>
      <x:c r="C15" s="2" t="str">
        <x:v>保留测试</x:v>
      </x:c>
      <x:c r="D15" s="7" t="str">
        <x:v>有证据</x:v>
      </x:c>
      <x:c r="E15" s="7" t="str">
        <x:v>有证据</x:v>
      </x:c>
      <x:c r="F15" s="7" t="str">
        <x:v>有证据</x:v>
      </x:c>
      <x:c r="G15" s="7" t="str">
        <x:v>有证据</x:v>
      </x:c>
      <x:c r="H15" s="2" t="str">
        <x:f>IF(COUNTIFS(D15:G15,"待澄清")&gt;0,"需要澄清",IF(COUNTIFS(D15:G15,"有证据")=4,"证据完整",IF(COUNTIFS(D15:G15,"有证据")&gt;=2,"部分满足","证据较少")))</x:f>
        <x:v>证据完整</x:v>
      </x:c>
      <x:c r="I15" s="8" t="str">
        <x:v>无预设追问</x:v>
      </x:c>
    </x:row>
    <x:row r="16" ht="48" customHeight="1">
      <x:c r="A16" s="2" t="str">
        <x:v>CV-011</x:v>
      </x:c>
      <x:c r="B16" s="2" t="str">
        <x:v>JD-002</x:v>
      </x:c>
      <x:c r="C16" s="2" t="str">
        <x:v>演示</x:v>
      </x:c>
      <x:c r="D16" s="7" t="str">
        <x:v>有证据</x:v>
      </x:c>
      <x:c r="E16" s="7" t="str">
        <x:v>有证据</x:v>
      </x:c>
      <x:c r="F16" s="7" t="str">
        <x:v>有证据</x:v>
      </x:c>
      <x:c r="G16" s="7" t="str">
        <x:v>有证据</x:v>
      </x:c>
      <x:c r="H16" s="2" t="str">
        <x:f>IF(COUNTIFS(D16:G16,"待澄清")&gt;0,"需要澄清",IF(COUNTIFS(D16:G16,"有证据")=4,"证据完整",IF(COUNTIFS(D16:G16,"有证据")&gt;=2,"部分满足","证据较少")))</x:f>
        <x:v>证据完整</x:v>
      </x:c>
      <x:c r="I16" s="8" t="str">
        <x:v>无预设追问</x:v>
      </x:c>
    </x:row>
    <x:row r="17" ht="48" customHeight="1">
      <x:c r="A17" s="2" t="str">
        <x:v>CV-012</x:v>
      </x:c>
      <x:c r="B17" s="2" t="str">
        <x:v>JD-001</x:v>
      </x:c>
      <x:c r="C17" s="2" t="str">
        <x:v>开发</x:v>
      </x:c>
      <x:c r="D17" s="7" t="str">
        <x:v>未体现</x:v>
      </x:c>
      <x:c r="E17" s="7" t="str">
        <x:v>未体现</x:v>
      </x:c>
      <x:c r="F17" s="7" t="str">
        <x:v>未体现</x:v>
      </x:c>
      <x:c r="G17" s="7" t="str">
        <x:v>未体现</x:v>
      </x:c>
      <x:c r="H17" s="2" t="str">
        <x:f>IF(COUNTIFS(D17:G17,"待澄清")&gt;0,"需要澄清",IF(COUNTIFS(D17:G17,"有证据")=4,"证据完整",IF(COUNTIFS(D17:G17,"有证据")&gt;=2,"部分满足","证据较少")))</x:f>
        <x:v>证据较少</x:v>
      </x:c>
      <x:c r="I17" s="8" t="str">
        <x:v>无预设追问</x:v>
      </x:c>
    </x:row>
    <x:row r="18" ht="48" customHeight="1">
      <x:c r="A18" s="2" t="str">
        <x:v>CV-013</x:v>
      </x:c>
      <x:c r="B18" s="2" t="str">
        <x:v>JD-003</x:v>
      </x:c>
      <x:c r="C18" s="2" t="str">
        <x:v>开发</x:v>
      </x:c>
      <x:c r="D18" s="7" t="str">
        <x:v>有证据</x:v>
      </x:c>
      <x:c r="E18" s="7" t="str">
        <x:v>有证据</x:v>
      </x:c>
      <x:c r="F18" s="7" t="str">
        <x:v>有证据</x:v>
      </x:c>
      <x:c r="G18" s="7" t="str">
        <x:v>有证据</x:v>
      </x:c>
      <x:c r="H18" s="2" t="str">
        <x:f>IF(COUNTIFS(D18:G18,"待澄清")&gt;0,"需要澄清",IF(COUNTIFS(D18:G18,"有证据")=4,"证据完整",IF(COUNTIFS(D18:G18,"有证据")&gt;=2,"部分满足","证据较少")))</x:f>
        <x:v>证据完整</x:v>
      </x:c>
      <x:c r="I18" s="8" t="str">
        <x:v>无预设追问</x:v>
      </x:c>
    </x:row>
    <x:row r="19" ht="48" customHeight="1">
      <x:c r="A19" s="2" t="str">
        <x:v>CV-014</x:v>
      </x:c>
      <x:c r="B19" s="2" t="str">
        <x:v>JD-003</x:v>
      </x:c>
      <x:c r="C19" s="2" t="str">
        <x:v>开发</x:v>
      </x:c>
      <x:c r="D19" s="7" t="str">
        <x:v>未体现</x:v>
      </x:c>
      <x:c r="E19" s="7" t="str">
        <x:v>未体现</x:v>
      </x:c>
      <x:c r="F19" s="7" t="str">
        <x:v>明确不满足</x:v>
      </x:c>
      <x:c r="G19" s="7" t="str">
        <x:v>明确不满足</x:v>
      </x:c>
      <x:c r="H19" s="2" t="str">
        <x:f>IF(COUNTIFS(D19:G19,"待澄清")&gt;0,"需要澄清",IF(COUNTIFS(D19:G19,"有证据")=4,"证据完整",IF(COUNTIFS(D19:G19,"有证据")&gt;=2,"部分满足","证据较少")))</x:f>
        <x:v>证据较少</x:v>
      </x:c>
      <x:c r="I19" s="8" t="str">
        <x:v>无预设追问</x:v>
      </x:c>
    </x:row>
    <x:row r="20" ht="48" customHeight="1">
      <x:c r="A20" s="2" t="str">
        <x:v>CV-015</x:v>
      </x:c>
      <x:c r="B20" s="2" t="str">
        <x:v>JD-002</x:v>
      </x:c>
      <x:c r="C20" s="2" t="str">
        <x:v>保留测试</x:v>
      </x:c>
      <x:c r="D20" s="7" t="str">
        <x:v>有证据</x:v>
      </x:c>
      <x:c r="E20" s="7" t="str">
        <x:v>明确不满足</x:v>
      </x:c>
      <x:c r="F20" s="7" t="str">
        <x:v>有证据</x:v>
      </x:c>
      <x:c r="G20" s="7" t="str">
        <x:v>有证据</x:v>
      </x:c>
      <x:c r="H20" s="2" t="str">
        <x:f>IF(COUNTIFS(D20:G20,"待澄清")&gt;0,"需要澄清",IF(COUNTIFS(D20:G20,"有证据")=4,"证据完整",IF(COUNTIFS(D20:G20,"有证据")&gt;=2,"部分满足","证据较少")))</x:f>
        <x:v>部分满足</x:v>
      </x:c>
      <x:c r="I20" s="8" t="str">
        <x:v>无预设追问</x:v>
      </x:c>
    </x:row>
    <x:row r="21" ht="48" customHeight="1">
      <x:c r="A21" s="2" t="str">
        <x:v>CV-016</x:v>
      </x:c>
      <x:c r="B21" s="2" t="str">
        <x:v>JD-002</x:v>
      </x:c>
      <x:c r="C21" s="2" t="str">
        <x:v>开发</x:v>
      </x:c>
      <x:c r="D21" s="7" t="str">
        <x:v>有证据</x:v>
      </x:c>
      <x:c r="E21" s="7" t="str">
        <x:v>有证据</x:v>
      </x:c>
      <x:c r="F21" s="7" t="str">
        <x:v>明确不满足</x:v>
      </x:c>
      <x:c r="G21" s="7" t="str">
        <x:v>有证据</x:v>
      </x:c>
      <x:c r="H21" s="2" t="str">
        <x:f>IF(COUNTIFS(D21:G21,"待澄清")&gt;0,"需要澄清",IF(COUNTIFS(D21:G21,"有证据")=4,"证据完整",IF(COUNTIFS(D21:G21,"有证据")&gt;=2,"部分满足","证据较少")))</x:f>
        <x:v>部分满足</x:v>
      </x:c>
      <x:c r="I21" s="8" t="str">
        <x:v>无预设追问</x:v>
      </x:c>
    </x:row>
    <x:row r="22" ht="48" customHeight="1">
      <x:c r="A22" s="2" t="str">
        <x:v>CV-017</x:v>
      </x:c>
      <x:c r="B22" s="2" t="str">
        <x:v>JD-001</x:v>
      </x:c>
      <x:c r="C22" s="2" t="str">
        <x:v>开发</x:v>
      </x:c>
      <x:c r="D22" s="7" t="str">
        <x:v>未体现</x:v>
      </x:c>
      <x:c r="E22" s="7" t="str">
        <x:v>明确不满足</x:v>
      </x:c>
      <x:c r="F22" s="7" t="str">
        <x:v>有证据</x:v>
      </x:c>
      <x:c r="G22" s="7" t="str">
        <x:v>有证据</x:v>
      </x:c>
      <x:c r="H22" s="2" t="str">
        <x:f>IF(COUNTIFS(D22:G22,"待澄清")&gt;0,"需要澄清",IF(COUNTIFS(D22:G22,"有证据")=4,"证据完整",IF(COUNTIFS(D22:G22,"有证据")&gt;=2,"部分满足","证据较少")))</x:f>
        <x:v>部分满足</x:v>
      </x:c>
      <x:c r="I22" s="8" t="str">
        <x:v>无预设追问</x:v>
      </x:c>
    </x:row>
    <x:row r="23" ht="48" customHeight="1">
      <x:c r="A23" s="2" t="str">
        <x:v>CV-018</x:v>
      </x:c>
      <x:c r="B23" s="2" t="str">
        <x:v>JD-001</x:v>
      </x:c>
      <x:c r="C23" s="2" t="str">
        <x:v>保留测试</x:v>
      </x:c>
      <x:c r="D23" s="7" t="str">
        <x:v>有证据</x:v>
      </x:c>
      <x:c r="E23" s="7" t="str">
        <x:v>有证据</x:v>
      </x:c>
      <x:c r="F23" s="7" t="str">
        <x:v>明确不满足</x:v>
      </x:c>
      <x:c r="G23" s="7" t="str">
        <x:v>有证据</x:v>
      </x:c>
      <x:c r="H23" s="2" t="str">
        <x:f>IF(COUNTIFS(D23:G23,"待澄清")&gt;0,"需要澄清",IF(COUNTIFS(D23:G23,"有证据")=4,"证据完整",IF(COUNTIFS(D23:G23,"有证据")&gt;=2,"部分满足","证据较少")))</x:f>
        <x:v>部分满足</x:v>
      </x:c>
      <x:c r="I23" s="8" t="str">
        <x:v>无预设追问</x:v>
      </x:c>
    </x:row>
    <x:row r="24" ht="48" customHeight="1">
      <x:c r="A24" s="2" t="str">
        <x:v>CV-019</x:v>
      </x:c>
      <x:c r="B24" s="2" t="str">
        <x:v>JD-002</x:v>
      </x:c>
      <x:c r="C24" s="2" t="str">
        <x:v>开发</x:v>
      </x:c>
      <x:c r="D24" s="7" t="str">
        <x:v>有证据</x:v>
      </x:c>
      <x:c r="E24" s="7" t="str">
        <x:v>有证据</x:v>
      </x:c>
      <x:c r="F24" s="7" t="str">
        <x:v>有证据</x:v>
      </x:c>
      <x:c r="G24" s="7" t="str">
        <x:v>有证据</x:v>
      </x:c>
      <x:c r="H24" s="2" t="str">
        <x:f>IF(COUNTIFS(D24:G24,"待澄清")&gt;0,"需要澄清",IF(COUNTIFS(D24:G24,"有证据")=4,"证据完整",IF(COUNTIFS(D24:G24,"有证据")&gt;=2,"部分满足","证据较少")))</x:f>
        <x:v>证据完整</x:v>
      </x:c>
      <x:c r="I24" s="8" t="str">
        <x:v>无预设追问</x:v>
      </x:c>
    </x:row>
    <x:row r="25" ht="48" customHeight="1">
      <x:c r="A25" s="2" t="str">
        <x:v>CV-020</x:v>
      </x:c>
      <x:c r="B25" s="2" t="str">
        <x:v>JD-001</x:v>
      </x:c>
      <x:c r="C25" s="2" t="str">
        <x:v>保留测试</x:v>
      </x:c>
      <x:c r="D25" s="7" t="str">
        <x:v>未体现</x:v>
      </x:c>
      <x:c r="E25" s="7" t="str">
        <x:v>未体现</x:v>
      </x:c>
      <x:c r="F25" s="7" t="str">
        <x:v>有证据</x:v>
      </x:c>
      <x:c r="G25" s="7" t="str">
        <x:v>未体现</x:v>
      </x:c>
      <x:c r="H25" s="2" t="str">
        <x:f>IF(COUNTIFS(D25:G25,"待澄清")&gt;0,"需要澄清",IF(COUNTIFS(D25:G25,"有证据")=4,"证据完整",IF(COUNTIFS(D25:G25,"有证据")&gt;=2,"部分满足","证据较少")))</x:f>
        <x:v>证据较少</x:v>
      </x:c>
      <x:c r="I25" s="8" t="str">
        <x:v>无预设追问</x:v>
      </x:c>
    </x:row>
    <x:row r="26" ht="48" customHeight="1">
      <x:c r="A26" s="2" t="str">
        <x:v>CV-021</x:v>
      </x:c>
      <x:c r="B26" s="2" t="str">
        <x:v>JD-001</x:v>
      </x:c>
      <x:c r="C26" s="2" t="str">
        <x:v>保留测试</x:v>
      </x:c>
      <x:c r="D26" s="7" t="str">
        <x:v>待澄清</x:v>
      </x:c>
      <x:c r="E26" s="7" t="str">
        <x:v>有证据</x:v>
      </x:c>
      <x:c r="F26" s="7" t="str">
        <x:v>有证据</x:v>
      </x:c>
      <x:c r="G26" s="7" t="str">
        <x:v>有证据</x:v>
      </x:c>
      <x:c r="H26" s="2" t="str">
        <x:f>IF(COUNTIFS(D26:G26,"待澄清")&gt;0,"需要澄清",IF(COUNTIFS(D26:G26,"有证据")=4,"证据完整",IF(COUNTIFS(D26:G26,"有证据")&gt;=2,"部分满足","证据较少")))</x:f>
        <x:v>需要澄清</x:v>
      </x:c>
      <x:c r="I26" s="8" t="str">
        <x:v>个人简介与唯一列出的岗位时长不一致，请确认日期或补充遗漏岗位。</x:v>
      </x:c>
    </x:row>
    <x:row r="27" ht="48" customHeight="1">
      <x:c r="A27" s="2" t="str">
        <x:v>CV-022</x:v>
      </x:c>
      <x:c r="B27" s="2" t="str">
        <x:v>JD-002</x:v>
      </x:c>
      <x:c r="C27" s="2" t="str">
        <x:v>开发</x:v>
      </x:c>
      <x:c r="D27" s="7" t="str">
        <x:v>未体现</x:v>
      </x:c>
      <x:c r="E27" s="7" t="str">
        <x:v>未体现</x:v>
      </x:c>
      <x:c r="F27" s="7" t="str">
        <x:v>未体现</x:v>
      </x:c>
      <x:c r="G27" s="7" t="str">
        <x:v>未体现</x:v>
      </x:c>
      <x:c r="H27" s="2" t="str">
        <x:f>IF(COUNTIFS(D27:G27,"待澄清")&gt;0,"需要澄清",IF(COUNTIFS(D27:G27,"有证据")=4,"证据完整",IF(COUNTIFS(D27:G27,"有证据")&gt;=2,"部分满足","证据较少")))</x:f>
        <x:v>证据较少</x:v>
      </x:c>
      <x:c r="I27" s="8" t="str">
        <x:v>无预设追问</x:v>
      </x:c>
    </x:row>
    <x:row r="28" ht="48" customHeight="1">
      <x:c r="A28" s="2" t="str">
        <x:v>CV-023</x:v>
      </x:c>
      <x:c r="B28" s="2" t="str">
        <x:v>JD-002</x:v>
      </x:c>
      <x:c r="C28" s="2" t="str">
        <x:v>开发</x:v>
      </x:c>
      <x:c r="D28" s="7" t="str">
        <x:v>有证据</x:v>
      </x:c>
      <x:c r="E28" s="7" t="str">
        <x:v>有证据</x:v>
      </x:c>
      <x:c r="F28" s="7" t="str">
        <x:v>有证据</x:v>
      </x:c>
      <x:c r="G28" s="7" t="str">
        <x:v>有证据</x:v>
      </x:c>
      <x:c r="H28" s="2" t="str">
        <x:f>IF(COUNTIFS(D28:G28,"待澄清")&gt;0,"需要澄清",IF(COUNTIFS(D28:G28,"有证据")=4,"证据完整",IF(COUNTIFS(D28:G28,"有证据")&gt;=2,"部分满足","证据较少")))</x:f>
        <x:v>证据完整</x:v>
      </x:c>
      <x:c r="I28" s="8" t="str">
        <x:v>无预设追问</x:v>
      </x:c>
    </x:row>
    <x:row r="29" ht="48" customHeight="1">
      <x:c r="A29" s="2" t="str">
        <x:v>CV-024</x:v>
      </x:c>
      <x:c r="B29" s="2" t="str">
        <x:v>JD-001</x:v>
      </x:c>
      <x:c r="C29" s="2" t="str">
        <x:v>开发</x:v>
      </x:c>
      <x:c r="D29" s="7" t="str">
        <x:v>未体现</x:v>
      </x:c>
      <x:c r="E29" s="7" t="str">
        <x:v>未体现</x:v>
      </x:c>
      <x:c r="F29" s="7" t="str">
        <x:v>未体现</x:v>
      </x:c>
      <x:c r="G29" s="7" t="str">
        <x:v>未体现</x:v>
      </x:c>
      <x:c r="H29" s="2" t="str">
        <x:f>IF(COUNTIFS(D29:G29,"待澄清")&gt;0,"需要澄清",IF(COUNTIFS(D29:G29,"有证据")=4,"证据完整",IF(COUNTIFS(D29:G29,"有证据")&gt;=2,"部分满足","证据较少")))</x:f>
        <x:v>证据较少</x:v>
      </x:c>
      <x:c r="I29" s="8" t="str">
        <x:v>无预设追问</x:v>
      </x:c>
    </x:row>
    <x:row r="30" ht="48" customHeight="1">
      <x:c r="A30" s="2" t="str">
        <x:v>CV-025</x:v>
      </x:c>
      <x:c r="B30" s="2" t="str">
        <x:v>JD-001</x:v>
      </x:c>
      <x:c r="C30" s="2" t="str">
        <x:v>开发</x:v>
      </x:c>
      <x:c r="D30" s="7" t="str">
        <x:v>有证据</x:v>
      </x:c>
      <x:c r="E30" s="7" t="str">
        <x:v>有证据</x:v>
      </x:c>
      <x:c r="F30" s="7" t="str">
        <x:v>有证据</x:v>
      </x:c>
      <x:c r="G30" s="7" t="str">
        <x:v>有证据</x:v>
      </x:c>
      <x:c r="H30" s="2" t="str">
        <x:f>IF(COUNTIFS(D30:G30,"待澄清")&gt;0,"需要澄清",IF(COUNTIFS(D30:G30,"有证据")=4,"证据完整",IF(COUNTIFS(D30:G30,"有证据")&gt;=2,"部分满足","证据较少")))</x:f>
        <x:v>证据完整</x:v>
      </x:c>
      <x:c r="I30" s="8" t="str">
        <x:v>无预设追问</x:v>
      </x:c>
    </x:row>
    <x:row r="31" ht="48" customHeight="1">
      <x:c r="A31" s="2" t="str">
        <x:v>CV-026</x:v>
      </x:c>
      <x:c r="B31" s="2" t="str">
        <x:v>JD-001</x:v>
      </x:c>
      <x:c r="C31" s="2" t="str">
        <x:v>演示</x:v>
      </x:c>
      <x:c r="D31" s="7" t="str">
        <x:v>待澄清</x:v>
      </x:c>
      <x:c r="E31" s="7" t="str">
        <x:v>有证据</x:v>
      </x:c>
      <x:c r="F31" s="7" t="str">
        <x:v>有证据</x:v>
      </x:c>
      <x:c r="G31" s="7" t="str">
        <x:v>有证据</x:v>
      </x:c>
      <x:c r="H31" s="2" t="str">
        <x:f>IF(COUNTIFS(D31:G31,"待澄清")&gt;0,"需要澄清",IF(COUNTIFS(D31:G31,"有证据")=4,"证据完整",IF(COUNTIFS(D31:G31,"有证据")&gt;=2,"部分满足","证据较少")))</x:f>
        <x:v>需要澄清</x:v>
      </x:c>
      <x:c r="I31" s="8" t="str">
        <x:v>请补充该岗位的起止年月，以核实相关工作时长。</x:v>
      </x:c>
    </x:row>
    <x:row r="32" ht="48" customHeight="1">
      <x:c r="A32" s="2" t="str">
        <x:v>CV-027</x:v>
      </x:c>
      <x:c r="B32" s="2" t="str">
        <x:v>JD-002</x:v>
      </x:c>
      <x:c r="C32" s="2" t="str">
        <x:v>保留测试</x:v>
      </x:c>
      <x:c r="D32" s="7" t="str">
        <x:v>有证据</x:v>
      </x:c>
      <x:c r="E32" s="7" t="str">
        <x:v>有证据</x:v>
      </x:c>
      <x:c r="F32" s="7" t="str">
        <x:v>有证据</x:v>
      </x:c>
      <x:c r="G32" s="7" t="str">
        <x:v>有证据</x:v>
      </x:c>
      <x:c r="H32" s="2" t="str">
        <x:f>IF(COUNTIFS(D32:G32,"待澄清")&gt;0,"需要澄清",IF(COUNTIFS(D32:G32,"有证据")=4,"证据完整",IF(COUNTIFS(D32:G32,"有证据")&gt;=2,"部分满足","证据较少")))</x:f>
        <x:v>证据完整</x:v>
      </x:c>
      <x:c r="I32" s="8" t="str">
        <x:v>无预设追问</x:v>
      </x:c>
    </x:row>
    <x:row r="33" ht="48" customHeight="1">
      <x:c r="A33" s="2" t="str">
        <x:v>CV-028</x:v>
      </x:c>
      <x:c r="B33" s="2" t="str">
        <x:v>JD-003</x:v>
      </x:c>
      <x:c r="C33" s="2" t="str">
        <x:v>演示</x:v>
      </x:c>
      <x:c r="D33" s="7" t="str">
        <x:v>待澄清</x:v>
      </x:c>
      <x:c r="E33" s="7" t="str">
        <x:v>有证据</x:v>
      </x:c>
      <x:c r="F33" s="7" t="str">
        <x:v>有证据</x:v>
      </x:c>
      <x:c r="G33" s="7" t="str">
        <x:v>有证据</x:v>
      </x:c>
      <x:c r="H33" s="2" t="str">
        <x:f>IF(COUNTIFS(D33:G33,"待澄清")&gt;0,"需要澄清",IF(COUNTIFS(D33:G33,"有证据")=4,"证据完整",IF(COUNTIFS(D33:G33,"有证据")&gt;=2,"部分满足","证据较少")))</x:f>
        <x:v>需要澄清</x:v>
      </x:c>
      <x:c r="I33" s="8" t="str">
        <x:v>请补充该岗位的起止年月，以核实相关工作时长。</x:v>
      </x:c>
    </x:row>
    <x:row r="34" ht="48" customHeight="1">
      <x:c r="A34" s="2" t="str">
        <x:v>CV-029</x:v>
      </x:c>
      <x:c r="B34" s="2" t="str">
        <x:v>JD-003</x:v>
      </x:c>
      <x:c r="C34" s="2" t="str">
        <x:v>保留测试</x:v>
      </x:c>
      <x:c r="D34" s="7" t="str">
        <x:v>有证据</x:v>
      </x:c>
      <x:c r="E34" s="7" t="str">
        <x:v>有证据</x:v>
      </x:c>
      <x:c r="F34" s="7" t="str">
        <x:v>有证据</x:v>
      </x:c>
      <x:c r="G34" s="7" t="str">
        <x:v>有证据</x:v>
      </x:c>
      <x:c r="H34" s="2" t="str">
        <x:f>IF(COUNTIFS(D34:G34,"待澄清")&gt;0,"需要澄清",IF(COUNTIFS(D34:G34,"有证据")=4,"证据完整",IF(COUNTIFS(D34:G34,"有证据")&gt;=2,"部分满足","证据较少")))</x:f>
        <x:v>证据完整</x:v>
      </x:c>
      <x:c r="I34" s="8" t="str">
        <x:v>无预设追问</x:v>
      </x:c>
    </x:row>
    <x:row r="35" ht="48" customHeight="1">
      <x:c r="A35" s="2" t="str">
        <x:v>CV-030</x:v>
      </x:c>
      <x:c r="B35" s="2" t="str">
        <x:v>JD-001</x:v>
      </x:c>
      <x:c r="C35" s="2" t="str">
        <x:v>开发</x:v>
      </x:c>
      <x:c r="D35" s="7" t="str">
        <x:v>有证据</x:v>
      </x:c>
      <x:c r="E35" s="7" t="str">
        <x:v>有证据</x:v>
      </x:c>
      <x:c r="F35" s="7" t="str">
        <x:v>有证据</x:v>
      </x:c>
      <x:c r="G35" s="7" t="str">
        <x:v>有证据</x:v>
      </x:c>
      <x:c r="H35" s="2" t="str">
        <x:f>IF(COUNTIFS(D35:G35,"待澄清")&gt;0,"需要澄清",IF(COUNTIFS(D35:G35,"有证据")=4,"证据完整",IF(COUNTIFS(D35:G35,"有证据")&gt;=2,"部分满足","证据较少")))</x:f>
        <x:v>证据完整</x:v>
      </x:c>
      <x:c r="I35" s="8" t="str">
        <x:v>无预设追问</x:v>
      </x:c>
    </x:row>
    <x:row r="36" ht="48" customHeight="1">
      <x:c r="A36" s="2" t="str">
        <x:v>CV-031</x:v>
      </x:c>
      <x:c r="B36" s="2" t="str">
        <x:v>JD-003</x:v>
      </x:c>
      <x:c r="C36" s="2" t="str">
        <x:v>开发</x:v>
      </x:c>
      <x:c r="D36" s="7" t="str">
        <x:v>明确不满足</x:v>
      </x:c>
      <x:c r="E36" s="7" t="str">
        <x:v>有证据</x:v>
      </x:c>
      <x:c r="F36" s="7" t="str">
        <x:v>有证据</x:v>
      </x:c>
      <x:c r="G36" s="7" t="str">
        <x:v>有证据</x:v>
      </x:c>
      <x:c r="H36" s="2" t="str">
        <x:f>IF(COUNTIFS(D36:G36,"待澄清")&gt;0,"需要澄清",IF(COUNTIFS(D36:G36,"有证据")=4,"证据完整",IF(COUNTIFS(D36:G36,"有证据")&gt;=2,"部分满足","证据较少")))</x:f>
        <x:v>部分满足</x:v>
      </x:c>
      <x:c r="I36" s="8" t="str">
        <x:v>无预设追问</x:v>
      </x:c>
    </x:row>
    <x:row r="37" ht="48" customHeight="1">
      <x:c r="A37" s="2" t="str">
        <x:v>CV-032</x:v>
      </x:c>
      <x:c r="B37" s="2" t="str">
        <x:v>JD-003</x:v>
      </x:c>
      <x:c r="C37" s="2" t="str">
        <x:v>开发</x:v>
      </x:c>
      <x:c r="D37" s="7" t="str">
        <x:v>有证据</x:v>
      </x:c>
      <x:c r="E37" s="7" t="str">
        <x:v>有证据</x:v>
      </x:c>
      <x:c r="F37" s="7" t="str">
        <x:v>有证据</x:v>
      </x:c>
      <x:c r="G37" s="7" t="str">
        <x:v>有证据</x:v>
      </x:c>
      <x:c r="H37" s="2" t="str">
        <x:f>IF(COUNTIFS(D37:G37,"待澄清")&gt;0,"需要澄清",IF(COUNTIFS(D37:G37,"有证据")=4,"证据完整",IF(COUNTIFS(D37:G37,"有证据")&gt;=2,"部分满足","证据较少")))</x:f>
        <x:v>证据完整</x:v>
      </x:c>
      <x:c r="I37" s="8" t="str">
        <x:v>无预设追问</x:v>
      </x:c>
    </x:row>
    <x:row r="38" ht="48" customHeight="1">
      <x:c r="A38" s="2" t="str">
        <x:v>CV-033</x:v>
      </x:c>
      <x:c r="B38" s="2" t="str">
        <x:v>JD-001</x:v>
      </x:c>
      <x:c r="C38" s="2" t="str">
        <x:v>开发</x:v>
      </x:c>
      <x:c r="D38" s="7" t="str">
        <x:v>有证据</x:v>
      </x:c>
      <x:c r="E38" s="7" t="str">
        <x:v>有证据</x:v>
      </x:c>
      <x:c r="F38" s="7" t="str">
        <x:v>有证据</x:v>
      </x:c>
      <x:c r="G38" s="7" t="str">
        <x:v>有证据</x:v>
      </x:c>
      <x:c r="H38" s="2" t="str">
        <x:f>IF(COUNTIFS(D38:G38,"待澄清")&gt;0,"需要澄清",IF(COUNTIFS(D38:G38,"有证据")=4,"证据完整",IF(COUNTIFS(D38:G38,"有证据")&gt;=2,"部分满足","证据较少")))</x:f>
        <x:v>证据完整</x:v>
      </x:c>
      <x:c r="I38" s="8" t="str">
        <x:v>无预设追问</x:v>
      </x:c>
    </x:row>
    <x:row r="39" ht="48" customHeight="1">
      <x:c r="A39" s="2" t="str">
        <x:v>CV-034</x:v>
      </x:c>
      <x:c r="B39" s="2" t="str">
        <x:v>JD-002</x:v>
      </x:c>
      <x:c r="C39" s="2" t="str">
        <x:v>开发</x:v>
      </x:c>
      <x:c r="D39" s="7" t="str">
        <x:v>明确不满足</x:v>
      </x:c>
      <x:c r="E39" s="7" t="str">
        <x:v>有证据</x:v>
      </x:c>
      <x:c r="F39" s="7" t="str">
        <x:v>有证据</x:v>
      </x:c>
      <x:c r="G39" s="7" t="str">
        <x:v>有证据</x:v>
      </x:c>
      <x:c r="H39" s="2" t="str">
        <x:f>IF(COUNTIFS(D39:G39,"待澄清")&gt;0,"需要澄清",IF(COUNTIFS(D39:G39,"有证据")=4,"证据完整",IF(COUNTIFS(D39:G39,"有证据")&gt;=2,"部分满足","证据较少")))</x:f>
        <x:v>部分满足</x:v>
      </x:c>
      <x:c r="I39" s="8" t="str">
        <x:v>无预设追问</x:v>
      </x:c>
    </x:row>
    <x:row r="40" ht="48" customHeight="1">
      <x:c r="A40" s="2" t="str">
        <x:v>CV-035</x:v>
      </x:c>
      <x:c r="B40" s="2" t="str">
        <x:v>JD-002</x:v>
      </x:c>
      <x:c r="C40" s="2" t="str">
        <x:v>保留测试</x:v>
      </x:c>
      <x:c r="D40" s="7" t="str">
        <x:v>未体现</x:v>
      </x:c>
      <x:c r="E40" s="7" t="str">
        <x:v>有证据</x:v>
      </x:c>
      <x:c r="F40" s="7" t="str">
        <x:v>未体现</x:v>
      </x:c>
      <x:c r="G40" s="7" t="str">
        <x:v>明确不满足</x:v>
      </x:c>
      <x:c r="H40" s="2" t="str">
        <x:f>IF(COUNTIFS(D40:G40,"待澄清")&gt;0,"需要澄清",IF(COUNTIFS(D40:G40,"有证据")=4,"证据完整",IF(COUNTIFS(D40:G40,"有证据")&gt;=2,"部分满足","证据较少")))</x:f>
        <x:v>证据较少</x:v>
      </x:c>
      <x:c r="I40" s="8" t="str">
        <x:v>无预设追问</x:v>
      </x:c>
    </x:row>
    <x:row r="41" ht="48" customHeight="1">
      <x:c r="A41" s="2" t="str">
        <x:v>CV-036</x:v>
      </x:c>
      <x:c r="B41" s="2" t="str">
        <x:v>JD-003</x:v>
      </x:c>
      <x:c r="C41" s="2" t="str">
        <x:v>开发</x:v>
      </x:c>
      <x:c r="D41" s="7" t="str">
        <x:v>有证据</x:v>
      </x:c>
      <x:c r="E41" s="7" t="str">
        <x:v>有证据</x:v>
      </x:c>
      <x:c r="F41" s="7" t="str">
        <x:v>有证据</x:v>
      </x:c>
      <x:c r="G41" s="7" t="str">
        <x:v>有证据</x:v>
      </x:c>
      <x:c r="H41" s="2" t="str">
        <x:f>IF(COUNTIFS(D41:G41,"待澄清")&gt;0,"需要澄清",IF(COUNTIFS(D41:G41,"有证据")=4,"证据完整",IF(COUNTIFS(D41:G41,"有证据")&gt;=2,"部分满足","证据较少")))</x:f>
        <x:v>证据完整</x:v>
      </x:c>
      <x:c r="I41" s="8" t="str">
        <x:v>无预设追问</x:v>
      </x:c>
    </x:row>
    <x:row r="42" ht="48" customHeight="1">
      <x:c r="A42" s="2" t="str">
        <x:v>CV-037</x:v>
      </x:c>
      <x:c r="B42" s="2" t="str">
        <x:v>JD-003</x:v>
      </x:c>
      <x:c r="C42" s="2" t="str">
        <x:v>开发</x:v>
      </x:c>
      <x:c r="D42" s="7" t="str">
        <x:v>有证据</x:v>
      </x:c>
      <x:c r="E42" s="7" t="str">
        <x:v>有证据</x:v>
      </x:c>
      <x:c r="F42" s="7" t="str">
        <x:v>有证据</x:v>
      </x:c>
      <x:c r="G42" s="7" t="str">
        <x:v>明确不满足</x:v>
      </x:c>
      <x:c r="H42" s="2" t="str">
        <x:f>IF(COUNTIFS(D42:G42,"待澄清")&gt;0,"需要澄清",IF(COUNTIFS(D42:G42,"有证据")=4,"证据完整",IF(COUNTIFS(D42:G42,"有证据")&gt;=2,"部分满足","证据较少")))</x:f>
        <x:v>部分满足</x:v>
      </x:c>
      <x:c r="I42" s="8" t="str">
        <x:v>无预设追问</x:v>
      </x:c>
    </x:row>
    <x:row r="43" ht="48" customHeight="1">
      <x:c r="A43" s="2" t="str">
        <x:v>CV-038</x:v>
      </x:c>
      <x:c r="B43" s="2" t="str">
        <x:v>JD-002</x:v>
      </x:c>
      <x:c r="C43" s="2" t="str">
        <x:v>保留测试</x:v>
      </x:c>
      <x:c r="D43" s="7" t="str">
        <x:v>待澄清</x:v>
      </x:c>
      <x:c r="E43" s="7" t="str">
        <x:v>有证据</x:v>
      </x:c>
      <x:c r="F43" s="7" t="str">
        <x:v>有证据</x:v>
      </x:c>
      <x:c r="G43" s="7" t="str">
        <x:v>有证据</x:v>
      </x:c>
      <x:c r="H43" s="2" t="str">
        <x:f>IF(COUNTIFS(D43:G43,"待澄清")&gt;0,"需要澄清",IF(COUNTIFS(D43:G43,"有证据")=4,"证据完整",IF(COUNTIFS(D43:G43,"有证据")&gt;=2,"部分满足","证据较少")))</x:f>
        <x:v>需要澄清</x:v>
      </x:c>
      <x:c r="I43" s="8" t="str">
        <x:v>个人简介与唯一列出的岗位时长不一致，请确认日期或补充遗漏岗位。</x:v>
      </x:c>
    </x:row>
    <x:row r="44" ht="48" customHeight="1">
      <x:c r="A44" s="2" t="str">
        <x:v>CV-039</x:v>
      </x:c>
      <x:c r="B44" s="2" t="str">
        <x:v>JD-003</x:v>
      </x:c>
      <x:c r="C44" s="2" t="str">
        <x:v>保留测试</x:v>
      </x:c>
      <x:c r="D44" s="7" t="str">
        <x:v>有证据</x:v>
      </x:c>
      <x:c r="E44" s="7" t="str">
        <x:v>明确不满足</x:v>
      </x:c>
      <x:c r="F44" s="7" t="str">
        <x:v>有证据</x:v>
      </x:c>
      <x:c r="G44" s="7" t="str">
        <x:v>有证据</x:v>
      </x:c>
      <x:c r="H44" s="2" t="str">
        <x:f>IF(COUNTIFS(D44:G44,"待澄清")&gt;0,"需要澄清",IF(COUNTIFS(D44:G44,"有证据")=4,"证据完整",IF(COUNTIFS(D44:G44,"有证据")&gt;=2,"部分满足","证据较少")))</x:f>
        <x:v>部分满足</x:v>
      </x:c>
      <x:c r="I44" s="8" t="str">
        <x:v>无预设追问</x:v>
      </x:c>
    </x:row>
    <x:row r="45" ht="48" customHeight="1">
      <x:c r="A45" s="2" t="str">
        <x:v>CV-040</x:v>
      </x:c>
      <x:c r="B45" s="2" t="str">
        <x:v>JD-003</x:v>
      </x:c>
      <x:c r="C45" s="2" t="str">
        <x:v>开发</x:v>
      </x:c>
      <x:c r="D45" s="7" t="str">
        <x:v>有证据</x:v>
      </x:c>
      <x:c r="E45" s="7" t="str">
        <x:v>明确不满足</x:v>
      </x:c>
      <x:c r="F45" s="7" t="str">
        <x:v>有证据</x:v>
      </x:c>
      <x:c r="G45" s="7" t="str">
        <x:v>有证据</x:v>
      </x:c>
      <x:c r="H45" s="2" t="str">
        <x:f>IF(COUNTIFS(D45:G45,"待澄清")&gt;0,"需要澄清",IF(COUNTIFS(D45:G45,"有证据")=4,"证据完整",IF(COUNTIFS(D45:G45,"有证据")&gt;=2,"部分满足","证据较少")))</x:f>
        <x:v>部分满足</x:v>
      </x:c>
      <x:c r="I45" s="8" t="str">
        <x:v>无预设追问</x:v>
      </x:c>
    </x:row>
    <x:row r="46" ht="48" customHeight="1">
      <x:c r="A46" s="2" t="str">
        <x:v>CV-041</x:v>
      </x:c>
      <x:c r="B46" s="2" t="str">
        <x:v>JD-001</x:v>
      </x:c>
      <x:c r="C46" s="2" t="str">
        <x:v>开发</x:v>
      </x:c>
      <x:c r="D46" s="7" t="str">
        <x:v>有证据</x:v>
      </x:c>
      <x:c r="E46" s="7" t="str">
        <x:v>明确不满足</x:v>
      </x:c>
      <x:c r="F46" s="7" t="str">
        <x:v>有证据</x:v>
      </x:c>
      <x:c r="G46" s="7" t="str">
        <x:v>有证据</x:v>
      </x:c>
      <x:c r="H46" s="2" t="str">
        <x:f>IF(COUNTIFS(D46:G46,"待澄清")&gt;0,"需要澄清",IF(COUNTIFS(D46:G46,"有证据")=4,"证据完整",IF(COUNTIFS(D46:G46,"有证据")&gt;=2,"部分满足","证据较少")))</x:f>
        <x:v>部分满足</x:v>
      </x:c>
      <x:c r="I46" s="8" t="str">
        <x:v>无预设追问</x:v>
      </x:c>
    </x:row>
    <x:row r="47" ht="48" customHeight="1">
      <x:c r="A47" s="2" t="str">
        <x:v>CV-042</x:v>
      </x:c>
      <x:c r="B47" s="2" t="str">
        <x:v>JD-001</x:v>
      </x:c>
      <x:c r="C47" s="2" t="str">
        <x:v>开发</x:v>
      </x:c>
      <x:c r="D47" s="7" t="str">
        <x:v>有证据</x:v>
      </x:c>
      <x:c r="E47" s="7" t="str">
        <x:v>有证据</x:v>
      </x:c>
      <x:c r="F47" s="7" t="str">
        <x:v>有证据</x:v>
      </x:c>
      <x:c r="G47" s="7" t="str">
        <x:v>有证据</x:v>
      </x:c>
      <x:c r="H47" s="2" t="str">
        <x:f>IF(COUNTIFS(D47:G47,"待澄清")&gt;0,"需要澄清",IF(COUNTIFS(D47:G47,"有证据")=4,"证据完整",IF(COUNTIFS(D47:G47,"有证据")&gt;=2,"部分满足","证据较少")))</x:f>
        <x:v>证据完整</x:v>
      </x:c>
      <x:c r="I47" s="8" t="str">
        <x:v>无预设追问</x:v>
      </x:c>
    </x:row>
    <x:row r="48" ht="48" customHeight="1">
      <x:c r="A48" s="2" t="str">
        <x:v>CV-043</x:v>
      </x:c>
      <x:c r="B48" s="2" t="str">
        <x:v>JD-002</x:v>
      </x:c>
      <x:c r="C48" s="2" t="str">
        <x:v>保留测试</x:v>
      </x:c>
      <x:c r="D48" s="7" t="str">
        <x:v>未体现</x:v>
      </x:c>
      <x:c r="E48" s="7" t="str">
        <x:v>有证据</x:v>
      </x:c>
      <x:c r="F48" s="7" t="str">
        <x:v>有证据</x:v>
      </x:c>
      <x:c r="G48" s="7" t="str">
        <x:v>明确不满足</x:v>
      </x:c>
      <x:c r="H48" s="2" t="str">
        <x:f>IF(COUNTIFS(D48:G48,"待澄清")&gt;0,"需要澄清",IF(COUNTIFS(D48:G48,"有证据")=4,"证据完整",IF(COUNTIFS(D48:G48,"有证据")&gt;=2,"部分满足","证据较少")))</x:f>
        <x:v>部分满足</x:v>
      </x:c>
      <x:c r="I48" s="8" t="str">
        <x:v>无预设追问</x:v>
      </x:c>
    </x:row>
    <x:row r="49" ht="48" customHeight="1">
      <x:c r="A49" s="2" t="str">
        <x:v>CV-044</x:v>
      </x:c>
      <x:c r="B49" s="2" t="str">
        <x:v>JD-003</x:v>
      </x:c>
      <x:c r="C49" s="2" t="str">
        <x:v>保留测试</x:v>
      </x:c>
      <x:c r="D49" s="7" t="str">
        <x:v>待澄清</x:v>
      </x:c>
      <x:c r="E49" s="7" t="str">
        <x:v>有证据</x:v>
      </x:c>
      <x:c r="F49" s="7" t="str">
        <x:v>有证据</x:v>
      </x:c>
      <x:c r="G49" s="7" t="str">
        <x:v>有证据</x:v>
      </x:c>
      <x:c r="H49" s="2" t="str">
        <x:f>IF(COUNTIFS(D49:G49,"待澄清")&gt;0,"需要澄清",IF(COUNTIFS(D49:G49,"有证据")=4,"证据完整",IF(COUNTIFS(D49:G49,"有证据")&gt;=2,"部分满足","证据较少")))</x:f>
        <x:v>需要澄清</x:v>
      </x:c>
      <x:c r="I49" s="8" t="str">
        <x:v>个人简介与唯一列出的岗位时长不一致，请确认日期或补充遗漏岗位。</x:v>
      </x:c>
    </x:row>
    <x:row r="50" ht="48" customHeight="1">
      <x:c r="A50" s="2" t="str">
        <x:v>CV-045</x:v>
      </x:c>
      <x:c r="B50" s="2" t="str">
        <x:v>JD-003</x:v>
      </x:c>
      <x:c r="C50" s="2" t="str">
        <x:v>保留测试</x:v>
      </x:c>
      <x:c r="D50" s="7" t="str">
        <x:v>明确不满足</x:v>
      </x:c>
      <x:c r="E50" s="7" t="str">
        <x:v>明确不满足</x:v>
      </x:c>
      <x:c r="F50" s="7" t="str">
        <x:v>有证据</x:v>
      </x:c>
      <x:c r="G50" s="7" t="str">
        <x:v>有证据</x:v>
      </x:c>
      <x:c r="H50" s="2" t="str">
        <x:f>IF(COUNTIFS(D50:G50,"待澄清")&gt;0,"需要澄清",IF(COUNTIFS(D50:G50,"有证据")=4,"证据完整",IF(COUNTIFS(D50:G50,"有证据")&gt;=2,"部分满足","证据较少")))</x:f>
        <x:v>部分满足</x:v>
      </x:c>
      <x:c r="I50" s="8" t="str">
        <x:v>无预设追问</x:v>
      </x:c>
    </x:row>
    <x:row r="51" ht="48" customHeight="1">
      <x:c r="A51" s="2" t="str">
        <x:v>CV-046</x:v>
      </x:c>
      <x:c r="B51" s="2" t="str">
        <x:v>JD-001</x:v>
      </x:c>
      <x:c r="C51" s="2" t="str">
        <x:v>开发</x:v>
      </x:c>
      <x:c r="D51" s="7" t="str">
        <x:v>有证据</x:v>
      </x:c>
      <x:c r="E51" s="7" t="str">
        <x:v>有证据</x:v>
      </x:c>
      <x:c r="F51" s="7" t="str">
        <x:v>待澄清</x:v>
      </x:c>
      <x:c r="G51" s="7" t="str">
        <x:v>有证据</x:v>
      </x:c>
      <x:c r="H51" s="2" t="str">
        <x:f>IF(COUNTIFS(D51:G51,"待澄清")&gt;0,"需要澄清",IF(COUNTIFS(D51:G51,"有证据")=4,"证据完整",IF(COUNTIFS(D51:G51,"有证据")&gt;=2,"部分满足","证据较少")))</x:f>
        <x:v>需要澄清</x:v>
      </x:c>
      <x:c r="I51" s="8" t="str">
        <x:v>请说明你本人具体完成了哪些相关任务，并提供一个可核对的工作示例。</x:v>
      </x:c>
    </x:row>
    <x:row r="52" ht="48" customHeight="1">
      <x:c r="A52" s="2" t="str">
        <x:v>CV-047</x:v>
      </x:c>
      <x:c r="B52" s="2" t="str">
        <x:v>JD-001</x:v>
      </x:c>
      <x:c r="C52" s="2" t="str">
        <x:v>演示</x:v>
      </x:c>
      <x:c r="D52" s="7" t="str">
        <x:v>有证据</x:v>
      </x:c>
      <x:c r="E52" s="7" t="str">
        <x:v>有证据</x:v>
      </x:c>
      <x:c r="F52" s="7" t="str">
        <x:v>有证据</x:v>
      </x:c>
      <x:c r="G52" s="7" t="str">
        <x:v>有证据</x:v>
      </x:c>
      <x:c r="H52" s="2" t="str">
        <x:f>IF(COUNTIFS(D52:G52,"待澄清")&gt;0,"需要澄清",IF(COUNTIFS(D52:G52,"有证据")=4,"证据完整",IF(COUNTIFS(D52:G52,"有证据")&gt;=2,"部分满足","证据较少")))</x:f>
        <x:v>证据完整</x:v>
      </x:c>
      <x:c r="I52" s="8" t="str">
        <x:v>无预设追问</x:v>
      </x:c>
    </x:row>
    <x:row r="53" ht="48" customHeight="1">
      <x:c r="A53" s="2" t="str">
        <x:v>CV-048</x:v>
      </x:c>
      <x:c r="B53" s="2" t="str">
        <x:v>JD-003</x:v>
      </x:c>
      <x:c r="C53" s="2" t="str">
        <x:v>开发</x:v>
      </x:c>
      <x:c r="D53" s="7" t="str">
        <x:v>有证据</x:v>
      </x:c>
      <x:c r="E53" s="7" t="str">
        <x:v>有证据</x:v>
      </x:c>
      <x:c r="F53" s="7" t="str">
        <x:v>有证据</x:v>
      </x:c>
      <x:c r="G53" s="7" t="str">
        <x:v>有证据</x:v>
      </x:c>
      <x:c r="H53" s="2" t="str">
        <x:f>IF(COUNTIFS(D53:G53,"待澄清")&gt;0,"需要澄清",IF(COUNTIFS(D53:G53,"有证据")=4,"证据完整",IF(COUNTIFS(D53:G53,"有证据")&gt;=2,"部分满足","证据较少")))</x:f>
        <x:v>证据完整</x:v>
      </x:c>
      <x:c r="I53" s="8" t="str">
        <x:v>无预设追问</x:v>
      </x:c>
    </x:row>
    <x:row r="54" ht="48" customHeight="1">
      <x:c r="A54" s="2" t="str">
        <x:v>CV-049</x:v>
      </x:c>
      <x:c r="B54" s="2" t="str">
        <x:v>JD-001</x:v>
      </x:c>
      <x:c r="C54" s="2" t="str">
        <x:v>开发</x:v>
      </x:c>
      <x:c r="D54" s="7" t="str">
        <x:v>明确不满足</x:v>
      </x:c>
      <x:c r="E54" s="7" t="str">
        <x:v>有证据</x:v>
      </x:c>
      <x:c r="F54" s="7" t="str">
        <x:v>有证据</x:v>
      </x:c>
      <x:c r="G54" s="7" t="str">
        <x:v>有证据</x:v>
      </x:c>
      <x:c r="H54" s="2" t="str">
        <x:f>IF(COUNTIFS(D54:G54,"待澄清")&gt;0,"需要澄清",IF(COUNTIFS(D54:G54,"有证据")=4,"证据完整",IF(COUNTIFS(D54:G54,"有证据")&gt;=2,"部分满足","证据较少")))</x:f>
        <x:v>部分满足</x:v>
      </x:c>
      <x:c r="I54" s="8" t="str">
        <x:v>无预设追问</x:v>
      </x:c>
    </x:row>
    <x:row r="55" ht="48" customHeight="1">
      <x:c r="A55" s="2" t="str">
        <x:v>CV-050</x:v>
      </x:c>
      <x:c r="B55" s="2" t="str">
        <x:v>JD-002</x:v>
      </x:c>
      <x:c r="C55" s="2" t="str">
        <x:v>保留测试</x:v>
      </x:c>
      <x:c r="D55" s="7" t="str">
        <x:v>有证据</x:v>
      </x:c>
      <x:c r="E55" s="7" t="str">
        <x:v>有证据</x:v>
      </x:c>
      <x:c r="F55" s="7" t="str">
        <x:v>有证据</x:v>
      </x:c>
      <x:c r="G55" s="7" t="str">
        <x:v>有证据</x:v>
      </x:c>
      <x:c r="H55" s="2" t="str">
        <x:f>IF(COUNTIFS(D55:G55,"待澄清")&gt;0,"需要澄清",IF(COUNTIFS(D55:G55,"有证据")=4,"证据完整",IF(COUNTIFS(D55:G55,"有证据")&gt;=2,"部分满足","证据较少")))</x:f>
        <x:v>证据完整</x:v>
      </x:c>
      <x:c r="I55" s="8" t="str">
        <x:v>无预设追问</x:v>
      </x:c>
    </x:row>
    <x:row r="56" ht="48" customHeight="1">
      <x:c r="A56" s="2" t="str">
        <x:v>CV-051</x:v>
      </x:c>
      <x:c r="B56" s="2" t="str">
        <x:v>JD-002</x:v>
      </x:c>
      <x:c r="C56" s="2" t="str">
        <x:v>开发</x:v>
      </x:c>
      <x:c r="D56" s="7" t="str">
        <x:v>未体现</x:v>
      </x:c>
      <x:c r="E56" s="7" t="str">
        <x:v>明确不满足</x:v>
      </x:c>
      <x:c r="F56" s="7" t="str">
        <x:v>未体现</x:v>
      </x:c>
      <x:c r="G56" s="7" t="str">
        <x:v>明确不满足</x:v>
      </x:c>
      <x:c r="H56" s="2" t="str">
        <x:f>IF(COUNTIFS(D56:G56,"待澄清")&gt;0,"需要澄清",IF(COUNTIFS(D56:G56,"有证据")=4,"证据完整",IF(COUNTIFS(D56:G56,"有证据")&gt;=2,"部分满足","证据较少")))</x:f>
        <x:v>证据较少</x:v>
      </x:c>
      <x:c r="I56" s="8" t="str">
        <x:v>无预设追问</x:v>
      </x:c>
    </x:row>
    <x:row r="57" ht="48" customHeight="1">
      <x:c r="A57" s="2" t="str">
        <x:v>CV-052</x:v>
      </x:c>
      <x:c r="B57" s="2" t="str">
        <x:v>JD-003</x:v>
      </x:c>
      <x:c r="C57" s="2" t="str">
        <x:v>演示</x:v>
      </x:c>
      <x:c r="D57" s="7" t="str">
        <x:v>有证据</x:v>
      </x:c>
      <x:c r="E57" s="7" t="str">
        <x:v>有证据</x:v>
      </x:c>
      <x:c r="F57" s="7" t="str">
        <x:v>有证据</x:v>
      </x:c>
      <x:c r="G57" s="7" t="str">
        <x:v>有证据</x:v>
      </x:c>
      <x:c r="H57" s="2" t="str">
        <x:f>IF(COUNTIFS(D57:G57,"待澄清")&gt;0,"需要澄清",IF(COUNTIFS(D57:G57,"有证据")=4,"证据完整",IF(COUNTIFS(D57:G57,"有证据")&gt;=2,"部分满足","证据较少")))</x:f>
        <x:v>证据完整</x:v>
      </x:c>
      <x:c r="I57" s="8" t="str">
        <x:v>无预设追问</x:v>
      </x:c>
    </x:row>
    <x:row r="58" ht="48" customHeight="1">
      <x:c r="A58" s="2" t="str">
        <x:v>CV-053</x:v>
      </x:c>
      <x:c r="B58" s="2" t="str">
        <x:v>JD-003</x:v>
      </x:c>
      <x:c r="C58" s="2" t="str">
        <x:v>开发</x:v>
      </x:c>
      <x:c r="D58" s="7" t="str">
        <x:v>有证据</x:v>
      </x:c>
      <x:c r="E58" s="7" t="str">
        <x:v>有证据</x:v>
      </x:c>
      <x:c r="F58" s="7" t="str">
        <x:v>有证据</x:v>
      </x:c>
      <x:c r="G58" s="7" t="str">
        <x:v>有证据</x:v>
      </x:c>
      <x:c r="H58" s="2" t="str">
        <x:f>IF(COUNTIFS(D58:G58,"待澄清")&gt;0,"需要澄清",IF(COUNTIFS(D58:G58,"有证据")=4,"证据完整",IF(COUNTIFS(D58:G58,"有证据")&gt;=2,"部分满足","证据较少")))</x:f>
        <x:v>证据完整</x:v>
      </x:c>
      <x:c r="I58" s="8" t="str">
        <x:v>无预设追问</x:v>
      </x:c>
    </x:row>
    <x:row r="59" ht="48" customHeight="1">
      <x:c r="A59" s="2" t="str">
        <x:v>CV-054</x:v>
      </x:c>
      <x:c r="B59" s="2" t="str">
        <x:v>JD-002</x:v>
      </x:c>
      <x:c r="C59" s="2" t="str">
        <x:v>开发</x:v>
      </x:c>
      <x:c r="D59" s="7" t="str">
        <x:v>有证据</x:v>
      </x:c>
      <x:c r="E59" s="7" t="str">
        <x:v>有证据</x:v>
      </x:c>
      <x:c r="F59" s="7" t="str">
        <x:v>有证据</x:v>
      </x:c>
      <x:c r="G59" s="7" t="str">
        <x:v>有证据</x:v>
      </x:c>
      <x:c r="H59" s="2" t="str">
        <x:f>IF(COUNTIFS(D59:G59,"待澄清")&gt;0,"需要澄清",IF(COUNTIFS(D59:G59,"有证据")=4,"证据完整",IF(COUNTIFS(D59:G59,"有证据")&gt;=2,"部分满足","证据较少")))</x:f>
        <x:v>证据完整</x:v>
      </x:c>
      <x:c r="I59" s="8" t="str">
        <x:v>无预设追问</x:v>
      </x:c>
    </x:row>
    <x:row r="60" ht="48" customHeight="1">
      <x:c r="A60" s="2" t="str">
        <x:v>CV-055</x:v>
      </x:c>
      <x:c r="B60" s="2" t="str">
        <x:v>JD-001</x:v>
      </x:c>
      <x:c r="C60" s="2" t="str">
        <x:v>开发</x:v>
      </x:c>
      <x:c r="D60" s="7" t="str">
        <x:v>有证据</x:v>
      </x:c>
      <x:c r="E60" s="7" t="str">
        <x:v>有证据</x:v>
      </x:c>
      <x:c r="F60" s="7" t="str">
        <x:v>有证据</x:v>
      </x:c>
      <x:c r="G60" s="7" t="str">
        <x:v>明确不满足</x:v>
      </x:c>
      <x:c r="H60" s="2" t="str">
        <x:f>IF(COUNTIFS(D60:G60,"待澄清")&gt;0,"需要澄清",IF(COUNTIFS(D60:G60,"有证据")=4,"证据完整",IF(COUNTIFS(D60:G60,"有证据")&gt;=2,"部分满足","证据较少")))</x:f>
        <x:v>部分满足</x:v>
      </x:c>
      <x:c r="I60" s="8" t="str">
        <x:v>无预设追问</x:v>
      </x:c>
    </x:row>
    <x:row r="61" ht="48" customHeight="1">
      <x:c r="A61" s="2" t="str">
        <x:v>CV-056</x:v>
      </x:c>
      <x:c r="B61" s="2" t="str">
        <x:v>JD-002</x:v>
      </x:c>
      <x:c r="C61" s="2" t="str">
        <x:v>开发</x:v>
      </x:c>
      <x:c r="D61" s="7" t="str">
        <x:v>有证据</x:v>
      </x:c>
      <x:c r="E61" s="7" t="str">
        <x:v>有证据</x:v>
      </x:c>
      <x:c r="F61" s="7" t="str">
        <x:v>有证据</x:v>
      </x:c>
      <x:c r="G61" s="7" t="str">
        <x:v>有证据</x:v>
      </x:c>
      <x:c r="H61" s="2" t="str">
        <x:f>IF(COUNTIFS(D61:G61,"待澄清")&gt;0,"需要澄清",IF(COUNTIFS(D61:G61,"有证据")=4,"证据完整",IF(COUNTIFS(D61:G61,"有证据")&gt;=2,"部分满足","证据较少")))</x:f>
        <x:v>证据完整</x:v>
      </x:c>
      <x:c r="I61" s="8" t="str">
        <x:v>无预设追问</x:v>
      </x:c>
    </x:row>
    <x:row r="62" ht="48" customHeight="1">
      <x:c r="A62" s="2" t="str">
        <x:v>CV-057</x:v>
      </x:c>
      <x:c r="B62" s="2" t="str">
        <x:v>JD-001</x:v>
      </x:c>
      <x:c r="C62" s="2" t="str">
        <x:v>开发</x:v>
      </x:c>
      <x:c r="D62" s="7" t="str">
        <x:v>有证据</x:v>
      </x:c>
      <x:c r="E62" s="7" t="str">
        <x:v>有证据</x:v>
      </x:c>
      <x:c r="F62" s="7" t="str">
        <x:v>有证据</x:v>
      </x:c>
      <x:c r="G62" s="7" t="str">
        <x:v>有证据</x:v>
      </x:c>
      <x:c r="H62" s="2" t="str">
        <x:f>IF(COUNTIFS(D62:G62,"待澄清")&gt;0,"需要澄清",IF(COUNTIFS(D62:G62,"有证据")=4,"证据完整",IF(COUNTIFS(D62:G62,"有证据")&gt;=2,"部分满足","证据较少")))</x:f>
        <x:v>证据完整</x:v>
      </x:c>
      <x:c r="I62" s="8" t="str">
        <x:v>无预设追问</x:v>
      </x:c>
    </x:row>
    <x:row r="63" ht="48" customHeight="1">
      <x:c r="A63" s="2" t="str">
        <x:v>CV-058</x:v>
      </x:c>
      <x:c r="B63" s="2" t="str">
        <x:v>JD-002</x:v>
      </x:c>
      <x:c r="C63" s="2" t="str">
        <x:v>开发</x:v>
      </x:c>
      <x:c r="D63" s="7" t="str">
        <x:v>有证据</x:v>
      </x:c>
      <x:c r="E63" s="7" t="str">
        <x:v>有证据</x:v>
      </x:c>
      <x:c r="F63" s="7" t="str">
        <x:v>有证据</x:v>
      </x:c>
      <x:c r="G63" s="7" t="str">
        <x:v>有证据</x:v>
      </x:c>
      <x:c r="H63" s="2" t="str">
        <x:f>IF(COUNTIFS(D63:G63,"待澄清")&gt;0,"需要澄清",IF(COUNTIFS(D63:G63,"有证据")=4,"证据完整",IF(COUNTIFS(D63:G63,"有证据")&gt;=2,"部分满足","证据较少")))</x:f>
        <x:v>证据完整</x:v>
      </x:c>
      <x:c r="I63" s="8" t="str">
        <x:v>无预设追问</x:v>
      </x:c>
    </x:row>
    <x:row r="64" ht="48" customHeight="1">
      <x:c r="A64" s="2" t="str">
        <x:v>CV-059</x:v>
      </x:c>
      <x:c r="B64" s="2" t="str">
        <x:v>JD-003</x:v>
      </x:c>
      <x:c r="C64" s="2" t="str">
        <x:v>开发</x:v>
      </x:c>
      <x:c r="D64" s="7" t="str">
        <x:v>有证据</x:v>
      </x:c>
      <x:c r="E64" s="7" t="str">
        <x:v>有证据</x:v>
      </x:c>
      <x:c r="F64" s="7" t="str">
        <x:v>明确不满足</x:v>
      </x:c>
      <x:c r="G64" s="7" t="str">
        <x:v>有证据</x:v>
      </x:c>
      <x:c r="H64" s="2" t="str">
        <x:f>IF(COUNTIFS(D64:G64,"待澄清")&gt;0,"需要澄清",IF(COUNTIFS(D64:G64,"有证据")=4,"证据完整",IF(COUNTIFS(D64:G64,"有证据")&gt;=2,"部分满足","证据较少")))</x:f>
        <x:v>部分满足</x:v>
      </x:c>
      <x:c r="I64" s="8" t="str">
        <x:v>无预设追问</x:v>
      </x:c>
    </x:row>
    <x:row r="65" ht="48" customHeight="1">
      <x:c r="A65" s="2" t="str">
        <x:v>CV-060</x:v>
      </x:c>
      <x:c r="B65" s="2" t="str">
        <x:v>JD-002</x:v>
      </x:c>
      <x:c r="C65" s="2" t="str">
        <x:v>开发</x:v>
      </x:c>
      <x:c r="D65" s="7" t="str">
        <x:v>有证据</x:v>
      </x:c>
      <x:c r="E65" s="7" t="str">
        <x:v>有证据</x:v>
      </x:c>
      <x:c r="F65" s="7" t="str">
        <x:v>有证据</x:v>
      </x:c>
      <x:c r="G65" s="7" t="str">
        <x:v>待澄清</x:v>
      </x:c>
      <x:c r="H65" s="2" t="str">
        <x:f>IF(COUNTIFS(D65:G65,"待澄清")&gt;0,"需要澄清",IF(COUNTIFS(D65:G65,"有证据")=4,"证据完整",IF(COUNTIFS(D65:G65,"有证据")&gt;=2,"部分满足","证据较少")))</x:f>
        <x:v>需要澄清</x:v>
      </x:c>
      <x:c r="I65" s="8" t="str">
        <x:v>请说明你本人具体完成了哪些相关任务，并提供一个可核对的工作示例。</x:v>
      </x:c>
    </x:row>
  </x:sheetData>
  <x:conditionalFormatting sqref="H6:H65">
    <x:cfRule type="containsText" dxfId="0" priority="1" operator="containsText" text="需要澄清"/>
  </x:conditionalFormatting>
  <x:dataValidations count="1">
    <x:dataValidation type="list" sqref="D6:G65">
      <x:formula1>"有证据,未体现,明确不满足,待澄清"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f762a526894867"/>
  </x:tableParts>
</x:worksheet>
</file>